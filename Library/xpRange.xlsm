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+\XPlus\Library\xpRange\"/>
    </mc:Choice>
  </mc:AlternateContent>
  <xr:revisionPtr revIDLastSave="0" documentId="13_ncr:1_{3292A204-19FA-4326-B88F-F3F66335070C}" xr6:coauthVersionLast="45" xr6:coauthVersionMax="45" xr10:uidLastSave="{00000000-0000-0000-0000-000000000000}"/>
  <bookViews>
    <workbookView xWindow="-110" yWindow="-110" windowWidth="19420" windowHeight="10420" xr2:uid="{BF45408F-DAC3-4E1C-8B92-CD1C39EC5058}"/>
  </bookViews>
  <sheets>
    <sheet name="Range" sheetId="2" r:id="rId1"/>
    <sheet name="FIRST_UNIQUE" sheetId="16" r:id="rId2"/>
    <sheet name="SORT_RANGE" sheetId="15" r:id="rId3"/>
    <sheet name="REVERSE_RANGE" sheetId="14" r:id="rId4"/>
    <sheet name="COLUMNIFY" sheetId="13" r:id="rId5"/>
    <sheet name="ROWIFY" sheetId="12" r:id="rId6"/>
    <sheet name="SUMN" sheetId="11" r:id="rId7"/>
    <sheet name="AVERAGEN" sheetId="10" r:id="rId8"/>
    <sheet name="MAXN" sheetId="9" r:id="rId9"/>
    <sheet name="MINN" sheetId="8" r:id="rId10"/>
    <sheet name="SUMHIGH" sheetId="3" r:id="rId11"/>
    <sheet name="SUMLOW" sheetId="7" r:id="rId12"/>
    <sheet name="AVERAGEHIGH" sheetId="6" r:id="rId13"/>
    <sheet name="AVERAGELOW" sheetId="5" r:id="rId14"/>
    <sheet name="INRANGE" sheetId="4" r:id="rId1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7" i="4" l="1"/>
  <c r="D6" i="4"/>
  <c r="D5" i="4"/>
  <c r="D4" i="4"/>
  <c r="D3" i="4"/>
  <c r="D2" i="4"/>
  <c r="C3" i="5"/>
  <c r="C2" i="5"/>
  <c r="C3" i="6"/>
  <c r="C2" i="6"/>
  <c r="C3" i="7"/>
  <c r="C2" i="7"/>
  <c r="C3" i="3"/>
  <c r="C2" i="3"/>
  <c r="D6" i="8"/>
  <c r="D5" i="8"/>
  <c r="D4" i="8"/>
  <c r="D3" i="8"/>
  <c r="D2" i="8"/>
  <c r="D5" i="9"/>
  <c r="D4" i="9"/>
  <c r="D3" i="9"/>
  <c r="D2" i="9"/>
  <c r="D6" i="10"/>
  <c r="D5" i="10"/>
  <c r="D4" i="10"/>
  <c r="D3" i="10"/>
  <c r="D2" i="10"/>
  <c r="D6" i="11"/>
  <c r="D5" i="11"/>
  <c r="D4" i="11"/>
  <c r="D3" i="11"/>
  <c r="D2" i="11"/>
  <c r="E2" i="12"/>
  <c r="D2" i="12"/>
  <c r="C2" i="12"/>
  <c r="E4" i="13"/>
  <c r="E3" i="13"/>
  <c r="E2" i="13"/>
  <c r="C4" i="14"/>
  <c r="C3" i="14"/>
  <c r="C2" i="14"/>
  <c r="C10" i="15"/>
  <c r="C9" i="15"/>
  <c r="C5" i="15"/>
  <c r="C4" i="15"/>
  <c r="C3" i="15"/>
  <c r="C5" i="16"/>
  <c r="C4" i="16"/>
  <c r="C3" i="16"/>
  <c r="C2" i="16"/>
  <c r="C57" i="2"/>
  <c r="C4" i="2"/>
  <c r="C16" i="2"/>
  <c r="C7" i="2"/>
  <c r="D39" i="2"/>
  <c r="D32" i="2"/>
  <c r="C20" i="2"/>
  <c r="C26" i="2"/>
  <c r="C11" i="2"/>
  <c r="C10" i="16"/>
  <c r="C12" i="2"/>
  <c r="C22" i="2"/>
  <c r="D72" i="2"/>
  <c r="D49" i="2"/>
  <c r="E26" i="2"/>
  <c r="D30" i="2"/>
  <c r="D73" i="2"/>
  <c r="C9" i="16"/>
  <c r="C15" i="2"/>
  <c r="C9" i="2"/>
  <c r="D70" i="2"/>
  <c r="C66" i="2"/>
  <c r="C5" i="2"/>
  <c r="D38" i="2"/>
  <c r="C8" i="16"/>
  <c r="C14" i="2"/>
  <c r="D29" i="2"/>
  <c r="C54" i="2"/>
  <c r="C8" i="2"/>
  <c r="D35" i="2"/>
  <c r="D47" i="2"/>
  <c r="C53" i="2"/>
  <c r="C6" i="15"/>
  <c r="C12" i="15"/>
  <c r="D36" i="2"/>
  <c r="C7" i="16"/>
  <c r="C13" i="2"/>
  <c r="D37" i="2"/>
  <c r="D31" i="2"/>
  <c r="C3" i="2"/>
  <c r="D26" i="2"/>
  <c r="D69" i="2"/>
  <c r="C2" i="2"/>
  <c r="C6" i="16"/>
  <c r="C19" i="2"/>
  <c r="D71" i="2"/>
  <c r="C23" i="2"/>
  <c r="C24" i="2"/>
  <c r="C61" i="2"/>
  <c r="C65" i="2"/>
  <c r="C58" i="2"/>
  <c r="C11" i="15"/>
  <c r="C11" i="16"/>
  <c r="C18" i="2"/>
  <c r="C6" i="2"/>
  <c r="D74" i="2"/>
  <c r="C10" i="2"/>
  <c r="D48" i="2"/>
  <c r="C62" i="2"/>
  <c r="C17" i="2"/>
  <c r="D33" i="2"/>
  <c r="D50" i="2"/>
  <c r="D51" i="2"/>
  <c r="C21" i="2"/>
  <c r="C25" i="2"/>
  <c r="D2" i="5"/>
  <c r="E4" i="11"/>
  <c r="E4" i="9"/>
  <c r="D3" i="5"/>
  <c r="D3" i="15"/>
  <c r="D12" i="15"/>
  <c r="D11" i="15"/>
  <c r="D3" i="3"/>
  <c r="D3" i="14"/>
  <c r="E5" i="11"/>
  <c r="D2" i="7"/>
  <c r="E7" i="4"/>
  <c r="D4" i="16"/>
  <c r="E5" i="4"/>
  <c r="E3" i="8"/>
  <c r="E2" i="10"/>
  <c r="D3" i="7"/>
  <c r="D3" i="16"/>
  <c r="D6" i="16"/>
  <c r="E2" i="4"/>
  <c r="E6" i="10"/>
  <c r="D9" i="16"/>
  <c r="F3" i="13"/>
  <c r="D2" i="6"/>
  <c r="E4" i="4"/>
  <c r="E5" i="10"/>
  <c r="E6" i="8"/>
  <c r="D10" i="16"/>
  <c r="D6" i="15"/>
  <c r="D2" i="16"/>
  <c r="E4" i="10"/>
  <c r="E2" i="8"/>
  <c r="E4" i="8"/>
  <c r="D7" i="16"/>
  <c r="D4" i="14"/>
  <c r="E6" i="4"/>
  <c r="D2" i="3"/>
  <c r="E5" i="9"/>
  <c r="E3" i="10"/>
  <c r="E2" i="9"/>
  <c r="D5" i="15"/>
  <c r="D10" i="15"/>
  <c r="D5" i="16"/>
  <c r="F4" i="13"/>
  <c r="D4" i="15"/>
  <c r="E6" i="11"/>
  <c r="E3" i="4"/>
  <c r="D3" i="6"/>
  <c r="E3" i="9"/>
  <c r="E2" i="11"/>
  <c r="E5" i="8"/>
  <c r="F2" i="12"/>
  <c r="D11" i="16"/>
  <c r="D9" i="15"/>
  <c r="D8" i="16"/>
  <c r="E3" i="11"/>
  <c r="D2" i="14"/>
  <c r="F2" i="13"/>
</calcChain>
</file>

<file path=xl/sharedStrings.xml><?xml version="1.0" encoding="utf-8"?>
<sst xmlns="http://schemas.openxmlformats.org/spreadsheetml/2006/main" count="140" uniqueCount="40">
  <si>
    <t>Function</t>
  </si>
  <si>
    <t>Input</t>
  </si>
  <si>
    <t>Output</t>
  </si>
  <si>
    <t>FIRST_UNIQUE</t>
  </si>
  <si>
    <t>A</t>
  </si>
  <si>
    <t>B</t>
  </si>
  <si>
    <t>C</t>
  </si>
  <si>
    <t>D</t>
  </si>
  <si>
    <t>E</t>
  </si>
  <si>
    <t>F</t>
  </si>
  <si>
    <t>G</t>
  </si>
  <si>
    <t>SORT_RANGE</t>
  </si>
  <si>
    <t>1</t>
  </si>
  <si>
    <t>3</t>
  </si>
  <si>
    <t>a</t>
  </si>
  <si>
    <t>2</t>
  </si>
  <si>
    <t>REVERSE_RANGE</t>
  </si>
  <si>
    <t>COLUMNIFY</t>
  </si>
  <si>
    <t>ROWIFY</t>
  </si>
  <si>
    <t>SUMN</t>
  </si>
  <si>
    <t>AVERAGEN</t>
  </si>
  <si>
    <t>MAXN</t>
  </si>
  <si>
    <t>MINN</t>
  </si>
  <si>
    <t>SUMHIGH</t>
  </si>
  <si>
    <t>SUMLOW</t>
  </si>
  <si>
    <t>AVERAGEHIGH</t>
  </si>
  <si>
    <t>AVERAGELOW</t>
  </si>
  <si>
    <t>One</t>
  </si>
  <si>
    <t>Two</t>
  </si>
  <si>
    <t>Three</t>
  </si>
  <si>
    <t>Four</t>
  </si>
  <si>
    <t>Five</t>
  </si>
  <si>
    <t>INRANGE</t>
  </si>
  <si>
    <t>Formula</t>
  </si>
  <si>
    <t>Ascending</t>
  </si>
  <si>
    <t>Descending</t>
  </si>
  <si>
    <t>=maxn(B41:B46,2)</t>
  </si>
  <si>
    <t>=maxn(B41:B46,4)</t>
  </si>
  <si>
    <t>=maxn(B41:C46,5)</t>
  </si>
  <si>
    <t>=maxn(B41:C46,5,TRUE)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</si>
</sst>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quotePrefix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A81CA-1946-498C-918B-1686CF725559}">
  <sheetPr codeName="Sheet12"/>
  <dimension ref="A1:F74"/>
  <sheetViews>
    <sheetView tabSelected="1" workbookViewId="0"/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33</v>
      </c>
    </row>
    <row r="2" spans="1:4" x14ac:dyDescent="0.35">
      <c r="A2" t="s">
        <v>3</v>
      </c>
      <c r="B2" t="s">
        <v>4</v>
      </c>
      <c r="C2" t="b">
        <f>FIRST_UNIQUE(B2,$B$2:$B$11)</f>
        <v>1</v>
      </c>
    </row>
    <row r="3" spans="1:4" x14ac:dyDescent="0.35">
      <c r="B3" t="s">
        <v>5</v>
      </c>
      <c r="C3" t="b">
        <f t="shared" ref="C3:C11" si="0">FIRST_UNIQUE(B3,$B$2:$B$11)</f>
        <v>1</v>
      </c>
    </row>
    <row r="4" spans="1:4" x14ac:dyDescent="0.35">
      <c r="B4" t="s">
        <v>6</v>
      </c>
      <c r="C4" t="b">
        <f t="shared" si="0"/>
        <v>1</v>
      </c>
    </row>
    <row r="5" spans="1:4" x14ac:dyDescent="0.35">
      <c r="B5" t="s">
        <v>4</v>
      </c>
      <c r="C5" t="b">
        <f t="shared" si="0"/>
        <v>0</v>
      </c>
    </row>
    <row r="6" spans="1:4" x14ac:dyDescent="0.35">
      <c r="B6" t="s">
        <v>7</v>
      </c>
      <c r="C6" t="b">
        <f t="shared" si="0"/>
        <v>1</v>
      </c>
    </row>
    <row r="7" spans="1:4" x14ac:dyDescent="0.35">
      <c r="B7" t="s">
        <v>6</v>
      </c>
      <c r="C7" t="b">
        <f t="shared" si="0"/>
        <v>0</v>
      </c>
    </row>
    <row r="8" spans="1:4" x14ac:dyDescent="0.35">
      <c r="B8" t="s">
        <v>8</v>
      </c>
      <c r="C8" t="b">
        <f t="shared" si="0"/>
        <v>1</v>
      </c>
    </row>
    <row r="9" spans="1:4" x14ac:dyDescent="0.35">
      <c r="B9" t="s">
        <v>9</v>
      </c>
      <c r="C9" t="b">
        <f t="shared" si="0"/>
        <v>1</v>
      </c>
    </row>
    <row r="10" spans="1:4" x14ac:dyDescent="0.35">
      <c r="B10" t="s">
        <v>10</v>
      </c>
      <c r="C10" t="b">
        <f t="shared" si="0"/>
        <v>1</v>
      </c>
    </row>
    <row r="11" spans="1:4" x14ac:dyDescent="0.35">
      <c r="B11" t="s">
        <v>10</v>
      </c>
      <c r="C11" t="b">
        <f t="shared" si="0"/>
        <v>0</v>
      </c>
    </row>
    <row r="12" spans="1:4" x14ac:dyDescent="0.35">
      <c r="A12" t="s">
        <v>11</v>
      </c>
      <c r="B12" s="2" t="s">
        <v>12</v>
      </c>
      <c r="C12" t="str">
        <f>SORT_RANGE(B12,$B$12:$B$15)</f>
        <v>1</v>
      </c>
    </row>
    <row r="13" spans="1:4" x14ac:dyDescent="0.35">
      <c r="B13" s="2" t="s">
        <v>13</v>
      </c>
      <c r="C13" t="str">
        <f>SORT_RANGE(B13,$B$12:$B$15)</f>
        <v>2</v>
      </c>
    </row>
    <row r="14" spans="1:4" x14ac:dyDescent="0.35">
      <c r="B14" t="s">
        <v>14</v>
      </c>
      <c r="C14" t="str">
        <f>SORT_RANGE(B14,$B$12:$B$15)</f>
        <v>3</v>
      </c>
    </row>
    <row r="15" spans="1:4" x14ac:dyDescent="0.35">
      <c r="B15" s="2" t="s">
        <v>15</v>
      </c>
      <c r="C15" t="str">
        <f>SORT_RANGE(B15,$B$12:$B$15)</f>
        <v>a</v>
      </c>
    </row>
    <row r="16" spans="1:4" x14ac:dyDescent="0.35">
      <c r="B16" s="2"/>
      <c r="C16" t="str">
        <f>SORT_RANGE(B12,$B$12:$B$15, TRUE)</f>
        <v>a</v>
      </c>
    </row>
    <row r="17" spans="1:6" x14ac:dyDescent="0.35">
      <c r="B17" s="2"/>
      <c r="C17" t="str">
        <f>SORT_RANGE(B13,$B$12:$B$15, TRUE)</f>
        <v>3</v>
      </c>
    </row>
    <row r="18" spans="1:6" x14ac:dyDescent="0.35">
      <c r="C18" t="str">
        <f>SORT_RANGE(B14,$B$12:$B$15, TRUE)</f>
        <v>2</v>
      </c>
    </row>
    <row r="19" spans="1:6" x14ac:dyDescent="0.35">
      <c r="B19" s="2"/>
      <c r="C19" t="str">
        <f>SORT_RANGE(B15,$B$12:$B$15, TRUE)</f>
        <v>1</v>
      </c>
    </row>
    <row r="20" spans="1:6" x14ac:dyDescent="0.35">
      <c r="A20" t="s">
        <v>16</v>
      </c>
      <c r="B20" t="s">
        <v>4</v>
      </c>
      <c r="C20" t="str">
        <f>REVERSE_RANGE(B20,$B$20:$B$22)</f>
        <v>C</v>
      </c>
    </row>
    <row r="21" spans="1:6" x14ac:dyDescent="0.35">
      <c r="B21" t="s">
        <v>5</v>
      </c>
      <c r="C21" t="str">
        <f>REVERSE_RANGE(B21,$B$20:$B$22)</f>
        <v>B</v>
      </c>
    </row>
    <row r="22" spans="1:6" x14ac:dyDescent="0.35">
      <c r="B22" t="s">
        <v>6</v>
      </c>
      <c r="C22" t="str">
        <f>REVERSE_RANGE(B22,$B$20:$B$22)</f>
        <v>A</v>
      </c>
    </row>
    <row r="23" spans="1:6" x14ac:dyDescent="0.35">
      <c r="A23" t="s">
        <v>17</v>
      </c>
      <c r="C23">
        <f>COLUMNIFY($C$23:$C$25,$D$23:$F$23)</f>
        <v>1</v>
      </c>
      <c r="D23">
        <v>1</v>
      </c>
      <c r="E23">
        <v>2</v>
      </c>
      <c r="F23">
        <v>3</v>
      </c>
    </row>
    <row r="24" spans="1:6" x14ac:dyDescent="0.35">
      <c r="C24">
        <f>COLUMNIFY($C$23:$C$25,$D$23:$F$23)</f>
        <v>2</v>
      </c>
    </row>
    <row r="25" spans="1:6" x14ac:dyDescent="0.35">
      <c r="C25">
        <f>COLUMNIFY($C$23:$C$25,$D$23:$F$23)</f>
        <v>3</v>
      </c>
    </row>
    <row r="26" spans="1:6" x14ac:dyDescent="0.35">
      <c r="A26" t="s">
        <v>18</v>
      </c>
      <c r="B26">
        <v>1</v>
      </c>
      <c r="C26">
        <f>ROWIFY($C$26:$E$26,$B$26:$B$28)</f>
        <v>1</v>
      </c>
      <c r="D26">
        <f>ROWIFY($C$26:$E$26,$B$26:$B$28)</f>
        <v>2</v>
      </c>
      <c r="E26">
        <f>ROWIFY($C$26:$E$26,$B$26:$B$28)</f>
        <v>3</v>
      </c>
    </row>
    <row r="27" spans="1:6" x14ac:dyDescent="0.35">
      <c r="B27">
        <v>2</v>
      </c>
    </row>
    <row r="28" spans="1:6" x14ac:dyDescent="0.35">
      <c r="B28">
        <v>3</v>
      </c>
    </row>
    <row r="29" spans="1:6" x14ac:dyDescent="0.35">
      <c r="A29" t="s">
        <v>19</v>
      </c>
      <c r="B29">
        <v>1</v>
      </c>
      <c r="C29">
        <v>1</v>
      </c>
      <c r="D29">
        <f>SUMN(B29:B34,2)</f>
        <v>12</v>
      </c>
    </row>
    <row r="30" spans="1:6" x14ac:dyDescent="0.35">
      <c r="B30">
        <v>2</v>
      </c>
      <c r="C30">
        <v>2</v>
      </c>
      <c r="D30">
        <f>SUMN(B29:B34,3)</f>
        <v>9</v>
      </c>
    </row>
    <row r="31" spans="1:6" x14ac:dyDescent="0.35">
      <c r="B31">
        <v>3</v>
      </c>
      <c r="C31">
        <v>3</v>
      </c>
      <c r="D31">
        <f>SUMN(B29:C34,5,TRUE)</f>
        <v>10</v>
      </c>
    </row>
    <row r="32" spans="1:6" x14ac:dyDescent="0.35">
      <c r="B32">
        <v>4</v>
      </c>
      <c r="C32">
        <v>4</v>
      </c>
      <c r="D32">
        <f>SUMN(B29:C34,3,TRUE)</f>
        <v>12</v>
      </c>
    </row>
    <row r="33" spans="1:5" x14ac:dyDescent="0.35">
      <c r="B33">
        <v>5</v>
      </c>
      <c r="C33">
        <v>5</v>
      </c>
      <c r="D33">
        <f>SUMN(B29:C34,5)</f>
        <v>8</v>
      </c>
    </row>
    <row r="34" spans="1:5" x14ac:dyDescent="0.35">
      <c r="B34">
        <v>6</v>
      </c>
      <c r="C34">
        <v>6</v>
      </c>
    </row>
    <row r="35" spans="1:5" x14ac:dyDescent="0.35">
      <c r="A35" t="s">
        <v>20</v>
      </c>
      <c r="B35">
        <v>1</v>
      </c>
      <c r="C35">
        <v>1</v>
      </c>
      <c r="D35">
        <f>AVERAGEN(B35:B40,2)</f>
        <v>4</v>
      </c>
    </row>
    <row r="36" spans="1:5" x14ac:dyDescent="0.35">
      <c r="B36">
        <v>2</v>
      </c>
      <c r="C36">
        <v>2</v>
      </c>
      <c r="D36">
        <f>AVERAGEN(B35:B40,3)</f>
        <v>4.5</v>
      </c>
    </row>
    <row r="37" spans="1:5" x14ac:dyDescent="0.35">
      <c r="B37">
        <v>3</v>
      </c>
      <c r="C37">
        <v>3</v>
      </c>
      <c r="D37">
        <f>AVERAGEN(B35:C40,3)</f>
        <v>4</v>
      </c>
    </row>
    <row r="38" spans="1:5" x14ac:dyDescent="0.35">
      <c r="B38">
        <v>4</v>
      </c>
      <c r="C38">
        <v>4</v>
      </c>
      <c r="D38">
        <f>AVERAGEN(B35:C40,3,TRUE)</f>
        <v>3</v>
      </c>
    </row>
    <row r="39" spans="1:5" x14ac:dyDescent="0.35">
      <c r="B39">
        <v>5</v>
      </c>
      <c r="C39">
        <v>5</v>
      </c>
      <c r="D39">
        <f>AVERAGEN(B35:C40,5,TRUE)</f>
        <v>3.3333333333333335</v>
      </c>
    </row>
    <row r="40" spans="1:5" x14ac:dyDescent="0.35">
      <c r="B40">
        <v>6</v>
      </c>
      <c r="C40">
        <v>6</v>
      </c>
    </row>
    <row r="41" spans="1:5" x14ac:dyDescent="0.35">
      <c r="A41" t="s">
        <v>21</v>
      </c>
      <c r="B41">
        <v>1</v>
      </c>
      <c r="C41">
        <v>1</v>
      </c>
      <c r="E41" t="s">
        <v>36</v>
      </c>
    </row>
    <row r="42" spans="1:5" x14ac:dyDescent="0.35">
      <c r="B42">
        <v>2</v>
      </c>
      <c r="C42">
        <v>2</v>
      </c>
      <c r="E42" t="s">
        <v>37</v>
      </c>
    </row>
    <row r="43" spans="1:5" x14ac:dyDescent="0.35">
      <c r="B43">
        <v>3</v>
      </c>
      <c r="C43">
        <v>3</v>
      </c>
      <c r="E43" t="s">
        <v>38</v>
      </c>
    </row>
    <row r="44" spans="1:5" x14ac:dyDescent="0.35">
      <c r="B44">
        <v>4</v>
      </c>
      <c r="C44">
        <v>4</v>
      </c>
      <c r="E44" t="s">
        <v>39</v>
      </c>
    </row>
    <row r="45" spans="1:5" x14ac:dyDescent="0.35">
      <c r="B45">
        <v>5</v>
      </c>
      <c r="C45">
        <v>5</v>
      </c>
    </row>
    <row r="46" spans="1:5" x14ac:dyDescent="0.35">
      <c r="B46">
        <v>6</v>
      </c>
      <c r="C46">
        <v>6</v>
      </c>
    </row>
    <row r="47" spans="1:5" x14ac:dyDescent="0.35">
      <c r="A47" t="s">
        <v>22</v>
      </c>
      <c r="B47">
        <v>1</v>
      </c>
      <c r="C47">
        <v>1</v>
      </c>
      <c r="D47">
        <f>MINN(B47:B52,2)</f>
        <v>2</v>
      </c>
    </row>
    <row r="48" spans="1:5" x14ac:dyDescent="0.35">
      <c r="B48">
        <v>2</v>
      </c>
      <c r="C48">
        <v>2</v>
      </c>
      <c r="D48">
        <f>MINN(B47:B52,3)</f>
        <v>3</v>
      </c>
    </row>
    <row r="49" spans="1:4" x14ac:dyDescent="0.35">
      <c r="B49">
        <v>3</v>
      </c>
      <c r="C49">
        <v>3</v>
      </c>
      <c r="D49">
        <f>MINN(B47:C52,3)</f>
        <v>2</v>
      </c>
    </row>
    <row r="50" spans="1:4" x14ac:dyDescent="0.35">
      <c r="B50">
        <v>4</v>
      </c>
      <c r="C50">
        <v>4</v>
      </c>
      <c r="D50">
        <f>MINN(B47:C52,3,TRUE)</f>
        <v>1</v>
      </c>
    </row>
    <row r="51" spans="1:4" x14ac:dyDescent="0.35">
      <c r="B51">
        <v>5</v>
      </c>
      <c r="C51">
        <v>5</v>
      </c>
      <c r="D51">
        <f>MINN(B47:C52,5,TRUE)</f>
        <v>1</v>
      </c>
    </row>
    <row r="52" spans="1:4" x14ac:dyDescent="0.35">
      <c r="B52">
        <v>6</v>
      </c>
      <c r="C52">
        <v>6</v>
      </c>
    </row>
    <row r="53" spans="1:4" x14ac:dyDescent="0.35">
      <c r="A53" t="s">
        <v>23</v>
      </c>
      <c r="B53">
        <v>1</v>
      </c>
      <c r="C53">
        <f>SUMHIGH(B53:B56,2)</f>
        <v>7</v>
      </c>
    </row>
    <row r="54" spans="1:4" x14ac:dyDescent="0.35">
      <c r="B54">
        <v>2</v>
      </c>
      <c r="C54">
        <f>SUMHIGH(B53:B56,3)</f>
        <v>9</v>
      </c>
    </row>
    <row r="55" spans="1:4" x14ac:dyDescent="0.35">
      <c r="B55">
        <v>3</v>
      </c>
    </row>
    <row r="56" spans="1:4" x14ac:dyDescent="0.35">
      <c r="B56">
        <v>4</v>
      </c>
    </row>
    <row r="57" spans="1:4" x14ac:dyDescent="0.35">
      <c r="A57" t="s">
        <v>24</v>
      </c>
      <c r="B57">
        <v>1</v>
      </c>
      <c r="C57">
        <f>SUMLOW(B57:B60, 2)</f>
        <v>3</v>
      </c>
    </row>
    <row r="58" spans="1:4" x14ac:dyDescent="0.35">
      <c r="B58">
        <v>2</v>
      </c>
      <c r="C58">
        <f>SUMLOW(B57:B60, 3)</f>
        <v>6</v>
      </c>
    </row>
    <row r="59" spans="1:4" x14ac:dyDescent="0.35">
      <c r="B59">
        <v>3</v>
      </c>
    </row>
    <row r="60" spans="1:4" x14ac:dyDescent="0.35">
      <c r="B60">
        <v>4</v>
      </c>
    </row>
    <row r="61" spans="1:4" x14ac:dyDescent="0.35">
      <c r="A61" t="s">
        <v>25</v>
      </c>
      <c r="B61">
        <v>1</v>
      </c>
      <c r="C61">
        <f>AVERAGEHIGH(B61:B64,2)</f>
        <v>3.5</v>
      </c>
    </row>
    <row r="62" spans="1:4" x14ac:dyDescent="0.35">
      <c r="B62">
        <v>2</v>
      </c>
      <c r="C62">
        <f>AVERAGEHIGH(B61:B64,3)</f>
        <v>3</v>
      </c>
    </row>
    <row r="63" spans="1:4" x14ac:dyDescent="0.35">
      <c r="B63">
        <v>3</v>
      </c>
    </row>
    <row r="64" spans="1:4" x14ac:dyDescent="0.35">
      <c r="B64">
        <v>4</v>
      </c>
    </row>
    <row r="65" spans="1:4" x14ac:dyDescent="0.35">
      <c r="A65" t="s">
        <v>26</v>
      </c>
      <c r="B65">
        <v>1</v>
      </c>
      <c r="C65">
        <f>AVERAGELOW(B65:B68,2)</f>
        <v>1.5</v>
      </c>
    </row>
    <row r="66" spans="1:4" x14ac:dyDescent="0.35">
      <c r="B66">
        <v>2</v>
      </c>
      <c r="C66">
        <f>AVERAGELOW(B65:B68,3)</f>
        <v>2</v>
      </c>
    </row>
    <row r="67" spans="1:4" x14ac:dyDescent="0.35">
      <c r="B67">
        <v>3</v>
      </c>
    </row>
    <row r="68" spans="1:4" x14ac:dyDescent="0.35">
      <c r="B68">
        <v>4</v>
      </c>
    </row>
    <row r="69" spans="1:4" x14ac:dyDescent="0.35">
      <c r="A69" t="s">
        <v>32</v>
      </c>
      <c r="B69" t="s">
        <v>27</v>
      </c>
      <c r="C69" t="s">
        <v>30</v>
      </c>
      <c r="D69" t="b">
        <f>INRANGE(C69,B69:B71)</f>
        <v>0</v>
      </c>
    </row>
    <row r="70" spans="1:4" x14ac:dyDescent="0.35">
      <c r="B70" t="s">
        <v>28</v>
      </c>
      <c r="C70" t="s">
        <v>31</v>
      </c>
      <c r="D70" t="b">
        <f>INRANGE(C71,B69:B71)</f>
        <v>1</v>
      </c>
    </row>
    <row r="71" spans="1:4" x14ac:dyDescent="0.35">
      <c r="B71" t="s">
        <v>29</v>
      </c>
      <c r="C71" t="s">
        <v>27</v>
      </c>
      <c r="D71" t="b">
        <f>INRANGE(B69:B71,C69:C71)</f>
        <v>1</v>
      </c>
    </row>
    <row r="72" spans="1:4" x14ac:dyDescent="0.35">
      <c r="D72" t="b">
        <f>INRANGE("Two",B69:B71)</f>
        <v>1</v>
      </c>
    </row>
    <row r="73" spans="1:4" x14ac:dyDescent="0.35">
      <c r="D73" t="b">
        <f>INRANGE("Three",B70:B72)</f>
        <v>1</v>
      </c>
    </row>
    <row r="74" spans="1:4" x14ac:dyDescent="0.35">
      <c r="D74" t="b">
        <f>INRANGE("Four",B71:B73)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55979-F5D6-4878-93D1-A524D6226329}">
  <dimension ref="A1:D11"/>
  <sheetViews>
    <sheetView workbookViewId="0"/>
  </sheetViews>
  <sheetFormatPr defaultRowHeight="14.5" x14ac:dyDescent="0.35"/>
  <cols>
    <col min="1" max="1" width="13.089843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33</v>
      </c>
    </row>
    <row r="2" spans="1:4" x14ac:dyDescent="0.35">
      <c r="A2" t="s">
        <v>3</v>
      </c>
      <c r="B2" t="s">
        <v>4</v>
      </c>
      <c r="C2" t="b">
        <f>FIRST_UNIQUE(B2,$B$2:$B$11)</f>
        <v>1</v>
      </c>
      <c r="D2" t="str">
        <f ca="1">_xlfn.FORMULATEXT(C2)</f>
        <v>=FIRST_UNIQUE(B2,$B$2:$B$11)</v>
      </c>
    </row>
    <row r="3" spans="1:4" x14ac:dyDescent="0.35">
      <c r="B3" t="s">
        <v>5</v>
      </c>
      <c r="C3" t="b">
        <f>FIRST_UNIQUE(B3,$B$2:$B$11)</f>
        <v>1</v>
      </c>
      <c r="D3" t="str">
        <f t="shared" ref="D3:D11" ca="1" si="0">_xlfn.FORMULATEXT(C3)</f>
        <v>=FIRST_UNIQUE(B3,$B$2:$B$11)</v>
      </c>
    </row>
    <row r="4" spans="1:4" x14ac:dyDescent="0.35">
      <c r="B4" t="s">
        <v>6</v>
      </c>
      <c r="C4" t="b">
        <f>FIRST_UNIQUE(B4,$B$2:$B$11)</f>
        <v>1</v>
      </c>
      <c r="D4" t="str">
        <f t="shared" ca="1" si="0"/>
        <v>=FIRST_UNIQUE(B4,$B$2:$B$11)</v>
      </c>
    </row>
    <row r="5" spans="1:4" x14ac:dyDescent="0.35">
      <c r="B5" t="s">
        <v>4</v>
      </c>
      <c r="C5" t="b">
        <f>FIRST_UNIQUE(B5,$B$2:$B$11)</f>
        <v>0</v>
      </c>
      <c r="D5" t="str">
        <f t="shared" ca="1" si="0"/>
        <v>=FIRST_UNIQUE(B5,$B$2:$B$11)</v>
      </c>
    </row>
    <row r="6" spans="1:4" x14ac:dyDescent="0.35">
      <c r="B6" t="s">
        <v>7</v>
      </c>
      <c r="C6" t="b">
        <f t="shared" ref="C6:C11" si="1">FIRST_UNIQUE(B6,$B$2:$B$11)</f>
        <v>1</v>
      </c>
      <c r="D6" t="str">
        <f t="shared" ca="1" si="0"/>
        <v>=FIRST_UNIQUE(B6,$B$2:$B$11)</v>
      </c>
    </row>
    <row r="7" spans="1:4" x14ac:dyDescent="0.35">
      <c r="B7" t="s">
        <v>6</v>
      </c>
      <c r="C7" t="b">
        <f t="shared" si="1"/>
        <v>0</v>
      </c>
      <c r="D7" t="str">
        <f t="shared" ca="1" si="0"/>
        <v>=FIRST_UNIQUE(B7,$B$2:$B$11)</v>
      </c>
    </row>
    <row r="8" spans="1:4" x14ac:dyDescent="0.35">
      <c r="B8" t="s">
        <v>8</v>
      </c>
      <c r="C8" t="b">
        <f t="shared" si="1"/>
        <v>1</v>
      </c>
      <c r="D8" t="str">
        <f t="shared" ca="1" si="0"/>
        <v>=FIRST_UNIQUE(B8,$B$2:$B$11)</v>
      </c>
    </row>
    <row r="9" spans="1:4" x14ac:dyDescent="0.35">
      <c r="B9" t="s">
        <v>9</v>
      </c>
      <c r="C9" t="b">
        <f t="shared" si="1"/>
        <v>1</v>
      </c>
      <c r="D9" t="str">
        <f t="shared" ca="1" si="0"/>
        <v>=FIRST_UNIQUE(B9,$B$2:$B$11)</v>
      </c>
    </row>
    <row r="10" spans="1:4" x14ac:dyDescent="0.35">
      <c r="B10" t="s">
        <v>10</v>
      </c>
      <c r="C10" t="b">
        <f t="shared" si="1"/>
        <v>1</v>
      </c>
      <c r="D10" t="str">
        <f t="shared" ca="1" si="0"/>
        <v>=FIRST_UNIQUE(B10,$B$2:$B$11)</v>
      </c>
    </row>
    <row r="11" spans="1:4" x14ac:dyDescent="0.35">
      <c r="B11" t="s">
        <v>10</v>
      </c>
      <c r="C11" t="b">
        <f t="shared" si="1"/>
        <v>0</v>
      </c>
      <c r="D11" t="str">
        <f t="shared" ca="1" si="0"/>
        <v>=FIRST_UNIQUE(B11,$B$2:$B$11)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99009-12C8-4864-A67E-454F6A794772}">
  <dimension ref="A1:D12"/>
  <sheetViews>
    <sheetView workbookViewId="0"/>
  </sheetViews>
  <sheetFormatPr defaultRowHeight="14.5" x14ac:dyDescent="0.35"/>
  <cols>
    <col min="1" max="1" width="12" bestFit="1" customWidth="1"/>
    <col min="3" max="3" width="10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33</v>
      </c>
    </row>
    <row r="2" spans="1:4" x14ac:dyDescent="0.35">
      <c r="A2" s="1"/>
      <c r="B2" s="1"/>
      <c r="C2" s="1" t="s">
        <v>34</v>
      </c>
      <c r="D2" s="1"/>
    </row>
    <row r="3" spans="1:4" x14ac:dyDescent="0.35">
      <c r="A3" t="s">
        <v>11</v>
      </c>
      <c r="B3" s="2" t="s">
        <v>12</v>
      </c>
      <c r="C3" t="str">
        <f>SORT_RANGE(B3,$B$3:$B$6)</f>
        <v>1</v>
      </c>
      <c r="D3" t="str">
        <f ca="1">_xlfn.FORMULATEXT(C3)</f>
        <v>=SORT_RANGE(B3,$B$3:$B$6)</v>
      </c>
    </row>
    <row r="4" spans="1:4" x14ac:dyDescent="0.35">
      <c r="B4" s="2" t="s">
        <v>13</v>
      </c>
      <c r="C4" t="str">
        <f>SORT_RANGE(B4,$B$3:$B$6)</f>
        <v>2</v>
      </c>
      <c r="D4" t="str">
        <f t="shared" ref="D4:D6" ca="1" si="0">_xlfn.FORMULATEXT(C4)</f>
        <v>=SORT_RANGE(B4,$B$3:$B$6)</v>
      </c>
    </row>
    <row r="5" spans="1:4" x14ac:dyDescent="0.35">
      <c r="B5" t="s">
        <v>14</v>
      </c>
      <c r="C5" t="str">
        <f>SORT_RANGE(B5,$B$3:$B$6)</f>
        <v>3</v>
      </c>
      <c r="D5" t="str">
        <f t="shared" ca="1" si="0"/>
        <v>=SORT_RANGE(B5,$B$3:$B$6)</v>
      </c>
    </row>
    <row r="6" spans="1:4" x14ac:dyDescent="0.35">
      <c r="B6" s="2" t="s">
        <v>15</v>
      </c>
      <c r="C6" t="str">
        <f>SORT_RANGE(B6,$B$3:$B$6)</f>
        <v>a</v>
      </c>
      <c r="D6" t="str">
        <f t="shared" ca="1" si="0"/>
        <v>=SORT_RANGE(B6,$B$3:$B$6)</v>
      </c>
    </row>
    <row r="7" spans="1:4" x14ac:dyDescent="0.35">
      <c r="B7" s="2"/>
    </row>
    <row r="8" spans="1:4" x14ac:dyDescent="0.35">
      <c r="B8" s="2"/>
      <c r="C8" s="1" t="s">
        <v>35</v>
      </c>
    </row>
    <row r="9" spans="1:4" x14ac:dyDescent="0.35">
      <c r="C9" t="str">
        <f>SORT_RANGE(B3,$B$3:$B$6,TRUE)</f>
        <v>a</v>
      </c>
      <c r="D9" t="str">
        <f t="shared" ref="D9:D12" ca="1" si="1">_xlfn.FORMULATEXT(C9)</f>
        <v>=SORT_RANGE(B3,$B$3:$B$6,TRUE)</v>
      </c>
    </row>
    <row r="10" spans="1:4" x14ac:dyDescent="0.35">
      <c r="B10" s="2"/>
      <c r="C10" t="str">
        <f>SORT_RANGE(B4,$B$3:$B$6,TRUE)</f>
        <v>3</v>
      </c>
      <c r="D10" t="str">
        <f t="shared" ca="1" si="1"/>
        <v>=SORT_RANGE(B4,$B$3:$B$6,TRUE)</v>
      </c>
    </row>
    <row r="11" spans="1:4" x14ac:dyDescent="0.35">
      <c r="C11" t="str">
        <f>SORT_RANGE(B5,$B$3:$B$6,TRUE)</f>
        <v>2</v>
      </c>
      <c r="D11" t="str">
        <f t="shared" ca="1" si="1"/>
        <v>=SORT_RANGE(B5,$B$3:$B$6,TRUE)</v>
      </c>
    </row>
    <row r="12" spans="1:4" x14ac:dyDescent="0.35">
      <c r="C12" t="str">
        <f>SORT_RANGE(B6,$B$3:$B$6,TRUE)</f>
        <v>1</v>
      </c>
      <c r="D12" t="str">
        <f t="shared" ca="1" si="1"/>
        <v>=SORT_RANGE(B6,$B$3:$B$6,TRUE)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61F9F-6F93-4F71-A8F3-31FFFC1410E6}">
  <dimension ref="A1:D4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33</v>
      </c>
    </row>
    <row r="2" spans="1:4" x14ac:dyDescent="0.35">
      <c r="A2" t="s">
        <v>16</v>
      </c>
      <c r="B2" t="s">
        <v>4</v>
      </c>
      <c r="C2" t="str">
        <f>REVERSE_RANGE(B2,$B$2:$B$4)</f>
        <v>C</v>
      </c>
      <c r="D2" t="str">
        <f ca="1">_xlfn.FORMULATEXT(C2)</f>
        <v>=REVERSE_RANGE(B2,$B$2:$B$4)</v>
      </c>
    </row>
    <row r="3" spans="1:4" x14ac:dyDescent="0.35">
      <c r="B3" t="s">
        <v>5</v>
      </c>
      <c r="C3" t="str">
        <f>REVERSE_RANGE(B3,$B$2:$B$4)</f>
        <v>B</v>
      </c>
      <c r="D3" t="str">
        <f ca="1">_xlfn.FORMULATEXT(C3)</f>
        <v>=REVERSE_RANGE(B3,$B$2:$B$4)</v>
      </c>
    </row>
    <row r="4" spans="1:4" x14ac:dyDescent="0.35">
      <c r="B4" t="s">
        <v>6</v>
      </c>
      <c r="C4" t="str">
        <f>REVERSE_RANGE(B4,$B$2:$B$4)</f>
        <v>A</v>
      </c>
      <c r="D4" t="str">
        <f ca="1">_xlfn.FORMULATEXT(C4)</f>
        <v>=REVERSE_RANGE(B4,$B$2:$B$4)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F4D08-2901-491E-85E3-B997142B0D5D}">
  <dimension ref="A1:F4"/>
  <sheetViews>
    <sheetView workbookViewId="0"/>
  </sheetViews>
  <sheetFormatPr defaultRowHeight="14.5" x14ac:dyDescent="0.35"/>
  <cols>
    <col min="1" max="1" width="10.81640625" bestFit="1" customWidth="1"/>
  </cols>
  <sheetData>
    <row r="1" spans="1:6" x14ac:dyDescent="0.35">
      <c r="A1" s="1" t="s">
        <v>0</v>
      </c>
      <c r="B1" s="4" t="s">
        <v>1</v>
      </c>
      <c r="C1" s="4"/>
      <c r="D1" s="4"/>
      <c r="E1" s="1" t="s">
        <v>2</v>
      </c>
      <c r="F1" s="1" t="s">
        <v>33</v>
      </c>
    </row>
    <row r="2" spans="1:6" x14ac:dyDescent="0.35">
      <c r="A2" t="s">
        <v>17</v>
      </c>
      <c r="B2">
        <v>1</v>
      </c>
      <c r="C2">
        <v>2</v>
      </c>
      <c r="D2">
        <v>3</v>
      </c>
      <c r="E2">
        <f>COLUMNIFY($E$2:$E$4,$B$2:$D$2)</f>
        <v>1</v>
      </c>
      <c r="F2" t="str">
        <f ca="1">_xlfn.FORMULATEXT(E2)</f>
        <v>=COLUMNIFY($E$2:$E$4,$B$2:$D$2)</v>
      </c>
    </row>
    <row r="3" spans="1:6" x14ac:dyDescent="0.35">
      <c r="E3">
        <f>COLUMNIFY($E$2:$E$4,$B$2:$D$2)</f>
        <v>2</v>
      </c>
      <c r="F3" t="str">
        <f ca="1">_xlfn.FORMULATEXT(E3)</f>
        <v>=COLUMNIFY($E$2:$E$4,$B$2:$D$2)</v>
      </c>
    </row>
    <row r="4" spans="1:6" x14ac:dyDescent="0.35">
      <c r="E4">
        <f>COLUMNIFY($E$2:$E$4,$B$2:$D$2)</f>
        <v>3</v>
      </c>
      <c r="F4" t="str">
        <f ca="1">_xlfn.FORMULATEXT(E4)</f>
        <v>=COLUMNIFY($E$2:$E$4,$B$2:$D$2)</v>
      </c>
    </row>
  </sheetData>
  <mergeCells count="1">
    <mergeCell ref="B1:D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BA5CA-C94C-4FFD-A1D9-0D34BB477972}">
  <dimension ref="A1:F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4" t="s">
        <v>2</v>
      </c>
      <c r="D1" s="4"/>
      <c r="E1" s="4"/>
      <c r="F1" s="1" t="s">
        <v>33</v>
      </c>
    </row>
    <row r="2" spans="1:6" x14ac:dyDescent="0.35">
      <c r="A2" t="s">
        <v>18</v>
      </c>
      <c r="B2">
        <v>1</v>
      </c>
      <c r="C2">
        <f>ROWIFY($C$2:$E$2,$B$2:$B$4)</f>
        <v>1</v>
      </c>
      <c r="D2">
        <f>ROWIFY($C$2:$E$2,$B$2:$B$4)</f>
        <v>2</v>
      </c>
      <c r="E2">
        <f>ROWIFY($C$2:$E$2,$B$2:$B$4)</f>
        <v>3</v>
      </c>
      <c r="F2" t="str">
        <f ca="1">_xlfn.FORMULATEXT(E2)</f>
        <v>=ROWIFY($C$2:$E$2,$B$2:$B$4)</v>
      </c>
    </row>
    <row r="3" spans="1:6" x14ac:dyDescent="0.35">
      <c r="B3">
        <v>2</v>
      </c>
    </row>
    <row r="4" spans="1:6" x14ac:dyDescent="0.35">
      <c r="B4">
        <v>3</v>
      </c>
    </row>
  </sheetData>
  <mergeCells count="1">
    <mergeCell ref="C1:E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E7343-BCA2-4504-BAF2-9485095B1881}">
  <dimension ref="A1:E7"/>
  <sheetViews>
    <sheetView workbookViewId="0"/>
  </sheetViews>
  <sheetFormatPr defaultRowHeight="14.5" x14ac:dyDescent="0.35"/>
  <sheetData>
    <row r="1" spans="1:5" x14ac:dyDescent="0.35">
      <c r="A1" s="1" t="s">
        <v>0</v>
      </c>
      <c r="B1" s="4" t="s">
        <v>1</v>
      </c>
      <c r="C1" s="4"/>
      <c r="D1" s="1" t="s">
        <v>2</v>
      </c>
      <c r="E1" s="1" t="s">
        <v>33</v>
      </c>
    </row>
    <row r="2" spans="1:5" x14ac:dyDescent="0.35">
      <c r="A2" t="s">
        <v>19</v>
      </c>
      <c r="B2" s="3">
        <v>1</v>
      </c>
      <c r="C2" s="3">
        <v>1</v>
      </c>
      <c r="D2">
        <f>SUMN(B2:B7,2)</f>
        <v>12</v>
      </c>
      <c r="E2" t="str">
        <f ca="1">_xlfn.FORMULATEXT(D2)</f>
        <v>=SUMN(B2:B7,2)</v>
      </c>
    </row>
    <row r="3" spans="1:5" x14ac:dyDescent="0.35">
      <c r="B3" s="3">
        <v>2</v>
      </c>
      <c r="C3" s="3">
        <v>2</v>
      </c>
      <c r="D3">
        <f>SUMN(B2:B7,3)</f>
        <v>9</v>
      </c>
      <c r="E3" t="str">
        <f ca="1">_xlfn.FORMULATEXT(D3)</f>
        <v>=SUMN(B2:B7,3)</v>
      </c>
    </row>
    <row r="4" spans="1:5" x14ac:dyDescent="0.35">
      <c r="B4" s="3">
        <v>3</v>
      </c>
      <c r="C4" s="3">
        <v>3</v>
      </c>
      <c r="D4">
        <f>SUMN(B2:C7,5,TRUE)</f>
        <v>10</v>
      </c>
      <c r="E4" t="str">
        <f ca="1">_xlfn.FORMULATEXT(D4)</f>
        <v>=SUMN(B2:C7,5,TRUE)</v>
      </c>
    </row>
    <row r="5" spans="1:5" x14ac:dyDescent="0.35">
      <c r="B5" s="3">
        <v>4</v>
      </c>
      <c r="C5" s="3">
        <v>4</v>
      </c>
      <c r="D5">
        <f>SUMN(B2:C7,3,TRUE)</f>
        <v>12</v>
      </c>
      <c r="E5" t="str">
        <f ca="1">_xlfn.FORMULATEXT(D5)</f>
        <v>=SUMN(B2:C7,3,TRUE)</v>
      </c>
    </row>
    <row r="6" spans="1:5" x14ac:dyDescent="0.35">
      <c r="B6" s="3">
        <v>5</v>
      </c>
      <c r="C6" s="3">
        <v>5</v>
      </c>
      <c r="D6">
        <f>SUMN(B2:C7,5)</f>
        <v>8</v>
      </c>
      <c r="E6" t="str">
        <f ca="1">_xlfn.FORMULATEXT(D6)</f>
        <v>=SUMN(B2:C7,5)</v>
      </c>
    </row>
    <row r="7" spans="1:5" x14ac:dyDescent="0.35">
      <c r="B7" s="3">
        <v>6</v>
      </c>
      <c r="C7" s="3">
        <v>6</v>
      </c>
    </row>
  </sheetData>
  <mergeCells count="1">
    <mergeCell ref="B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F7431-6643-4F7F-AE54-6370F0D7EF81}">
  <dimension ref="A1:E7"/>
  <sheetViews>
    <sheetView workbookViewId="0"/>
  </sheetViews>
  <sheetFormatPr defaultRowHeight="14.5" x14ac:dyDescent="0.35"/>
  <cols>
    <col min="1" max="1" width="10.1796875" bestFit="1" customWidth="1"/>
  </cols>
  <sheetData>
    <row r="1" spans="1:5" x14ac:dyDescent="0.35">
      <c r="A1" s="1" t="s">
        <v>0</v>
      </c>
      <c r="B1" s="4" t="s">
        <v>1</v>
      </c>
      <c r="C1" s="4"/>
      <c r="D1" s="1" t="s">
        <v>2</v>
      </c>
      <c r="E1" s="1" t="s">
        <v>33</v>
      </c>
    </row>
    <row r="2" spans="1:5" x14ac:dyDescent="0.35">
      <c r="A2" t="s">
        <v>20</v>
      </c>
      <c r="B2" s="3">
        <v>1</v>
      </c>
      <c r="C2" s="3">
        <v>1</v>
      </c>
      <c r="D2">
        <f>AVERAGEN(B2:B7,2)</f>
        <v>4</v>
      </c>
      <c r="E2" t="str">
        <f ca="1">_xlfn.FORMULATEXT(D2)</f>
        <v>=AVERAGEN(B2:B7,2)</v>
      </c>
    </row>
    <row r="3" spans="1:5" x14ac:dyDescent="0.35">
      <c r="B3" s="3">
        <v>2</v>
      </c>
      <c r="C3" s="3">
        <v>2</v>
      </c>
      <c r="D3">
        <f>AVERAGEN(B2:B7,3)</f>
        <v>4.5</v>
      </c>
      <c r="E3" t="str">
        <f t="shared" ref="E3:E6" ca="1" si="0">_xlfn.FORMULATEXT(D3)</f>
        <v>=AVERAGEN(B2:B7,3)</v>
      </c>
    </row>
    <row r="4" spans="1:5" x14ac:dyDescent="0.35">
      <c r="B4" s="3">
        <v>3</v>
      </c>
      <c r="C4" s="3">
        <v>3</v>
      </c>
      <c r="D4">
        <f>AVERAGEN(B2:C7,3)</f>
        <v>4</v>
      </c>
      <c r="E4" t="str">
        <f t="shared" ca="1" si="0"/>
        <v>=AVERAGEN(B2:C7,3)</v>
      </c>
    </row>
    <row r="5" spans="1:5" x14ac:dyDescent="0.35">
      <c r="B5" s="3">
        <v>4</v>
      </c>
      <c r="C5" s="3">
        <v>4</v>
      </c>
      <c r="D5">
        <f>AVERAGEN(B2:C7,3,TRUE)</f>
        <v>3</v>
      </c>
      <c r="E5" t="str">
        <f t="shared" ca="1" si="0"/>
        <v>=AVERAGEN(B2:C7,3,TRUE)</v>
      </c>
    </row>
    <row r="6" spans="1:5" x14ac:dyDescent="0.35">
      <c r="B6" s="3">
        <v>5</v>
      </c>
      <c r="C6" s="3">
        <v>5</v>
      </c>
      <c r="D6">
        <f>AVERAGEN(B2:C7,5,TRUE)</f>
        <v>3.3333333333333335</v>
      </c>
      <c r="E6" t="str">
        <f t="shared" ca="1" si="0"/>
        <v>=AVERAGEN(B2:C7,5,TRUE)</v>
      </c>
    </row>
    <row r="7" spans="1:5" x14ac:dyDescent="0.35">
      <c r="B7" s="3">
        <v>6</v>
      </c>
      <c r="C7" s="3">
        <v>6</v>
      </c>
    </row>
  </sheetData>
  <mergeCells count="1">
    <mergeCell ref="B1:C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2875C-4340-4103-A4E4-8C647943809E}">
  <dimension ref="A1:E7"/>
  <sheetViews>
    <sheetView workbookViewId="0"/>
  </sheetViews>
  <sheetFormatPr defaultRowHeight="14.5" x14ac:dyDescent="0.35"/>
  <sheetData>
    <row r="1" spans="1:5" x14ac:dyDescent="0.35">
      <c r="A1" s="1" t="s">
        <v>0</v>
      </c>
      <c r="B1" s="4" t="s">
        <v>1</v>
      </c>
      <c r="C1" s="4"/>
      <c r="D1" s="1" t="s">
        <v>2</v>
      </c>
      <c r="E1" s="1" t="s">
        <v>33</v>
      </c>
    </row>
    <row r="2" spans="1:5" x14ac:dyDescent="0.35">
      <c r="A2" t="s">
        <v>21</v>
      </c>
      <c r="B2">
        <v>1</v>
      </c>
      <c r="C2">
        <v>1</v>
      </c>
      <c r="D2">
        <f>MAXN(B2:B7,2)</f>
        <v>6</v>
      </c>
      <c r="E2" t="str">
        <f ca="1">_xlfn.FORMULATEXT(D2)</f>
        <v>=MAXN(B2:B7,2)</v>
      </c>
    </row>
    <row r="3" spans="1:5" x14ac:dyDescent="0.35">
      <c r="B3">
        <v>2</v>
      </c>
      <c r="C3">
        <v>2</v>
      </c>
      <c r="D3">
        <f>MAXN(B2:B7,4)</f>
        <v>4</v>
      </c>
      <c r="E3" t="str">
        <f t="shared" ref="E3:E5" ca="1" si="0">_xlfn.FORMULATEXT(D3)</f>
        <v>=MAXN(B2:B7,4)</v>
      </c>
    </row>
    <row r="4" spans="1:5" x14ac:dyDescent="0.35">
      <c r="B4">
        <v>3</v>
      </c>
      <c r="C4">
        <v>3</v>
      </c>
      <c r="D4">
        <f>MAXN(B2:C7,5)</f>
        <v>5</v>
      </c>
      <c r="E4" t="str">
        <f t="shared" ca="1" si="0"/>
        <v>=MAXN(B2:C7,5)</v>
      </c>
    </row>
    <row r="5" spans="1:5" x14ac:dyDescent="0.35">
      <c r="B5">
        <v>4</v>
      </c>
      <c r="C5">
        <v>4</v>
      </c>
      <c r="D5">
        <f>MAXN(B2:C7,5,TRUE)</f>
        <v>6</v>
      </c>
      <c r="E5" t="str">
        <f t="shared" ca="1" si="0"/>
        <v>=MAXN(B2:C7,5,TRUE)</v>
      </c>
    </row>
    <row r="6" spans="1:5" x14ac:dyDescent="0.35">
      <c r="B6">
        <v>5</v>
      </c>
      <c r="C6">
        <v>5</v>
      </c>
    </row>
    <row r="7" spans="1:5" x14ac:dyDescent="0.35">
      <c r="B7">
        <v>6</v>
      </c>
      <c r="C7">
        <v>6</v>
      </c>
    </row>
  </sheetData>
  <mergeCells count="1">
    <mergeCell ref="B1:C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80314-AD82-4421-A0C0-9E1B0C298050}">
  <dimension ref="A1:E7"/>
  <sheetViews>
    <sheetView workbookViewId="0"/>
  </sheetViews>
  <sheetFormatPr defaultRowHeight="14.5" x14ac:dyDescent="0.35"/>
  <sheetData>
    <row r="1" spans="1:5" x14ac:dyDescent="0.35">
      <c r="A1" s="1" t="s">
        <v>0</v>
      </c>
      <c r="B1" s="4" t="s">
        <v>1</v>
      </c>
      <c r="C1" s="4"/>
      <c r="D1" s="1" t="s">
        <v>2</v>
      </c>
      <c r="E1" s="1" t="s">
        <v>33</v>
      </c>
    </row>
    <row r="2" spans="1:5" x14ac:dyDescent="0.35">
      <c r="A2" t="s">
        <v>22</v>
      </c>
      <c r="B2" s="3">
        <v>1</v>
      </c>
      <c r="C2" s="3">
        <v>1</v>
      </c>
      <c r="D2">
        <f>MINN(B2:B7,2)</f>
        <v>2</v>
      </c>
      <c r="E2" t="str">
        <f ca="1">_xlfn.FORMULATEXT(D2)</f>
        <v>=MINN(B2:B7,2)</v>
      </c>
    </row>
    <row r="3" spans="1:5" x14ac:dyDescent="0.35">
      <c r="B3" s="3">
        <v>2</v>
      </c>
      <c r="C3" s="3">
        <v>2</v>
      </c>
      <c r="D3">
        <f>MINN(B2:B7,3)</f>
        <v>3</v>
      </c>
      <c r="E3" t="str">
        <f t="shared" ref="E3:E6" ca="1" si="0">_xlfn.FORMULATEXT(D3)</f>
        <v>=MINN(B2:B7,3)</v>
      </c>
    </row>
    <row r="4" spans="1:5" x14ac:dyDescent="0.35">
      <c r="B4" s="3">
        <v>3</v>
      </c>
      <c r="C4" s="3">
        <v>3</v>
      </c>
      <c r="D4">
        <f>MINN(B2:C7,3)</f>
        <v>2</v>
      </c>
      <c r="E4" t="str">
        <f t="shared" ca="1" si="0"/>
        <v>=MINN(B2:C7,3)</v>
      </c>
    </row>
    <row r="5" spans="1:5" x14ac:dyDescent="0.35">
      <c r="B5" s="3">
        <v>4</v>
      </c>
      <c r="C5" s="3">
        <v>4</v>
      </c>
      <c r="D5">
        <f>MINN(B2:C7,3,TRUE)</f>
        <v>1</v>
      </c>
      <c r="E5" t="str">
        <f t="shared" ca="1" si="0"/>
        <v>=MINN(B2:C7,3,TRUE)</v>
      </c>
    </row>
    <row r="6" spans="1:5" x14ac:dyDescent="0.35">
      <c r="B6" s="3">
        <v>5</v>
      </c>
      <c r="C6" s="3">
        <v>5</v>
      </c>
      <c r="D6">
        <f>MINN(B2:C7,5,TRUE)</f>
        <v>1</v>
      </c>
      <c r="E6" t="str">
        <f t="shared" ca="1" si="0"/>
        <v>=MINN(B2:C7,5,TRUE)</v>
      </c>
    </row>
    <row r="7" spans="1:5" x14ac:dyDescent="0.35">
      <c r="B7" s="3">
        <v>6</v>
      </c>
      <c r="C7" s="3">
        <v>6</v>
      </c>
    </row>
  </sheetData>
  <mergeCells count="1">
    <mergeCell ref="B1:C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AA15D-FC9B-4BD1-9823-75D5B3F463DA}">
  <dimension ref="A1:D5"/>
  <sheetViews>
    <sheetView workbookViewId="0"/>
  </sheetViews>
  <sheetFormatPr defaultRowHeight="14.5" x14ac:dyDescent="0.35"/>
  <cols>
    <col min="1" max="1" width="9.089843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33</v>
      </c>
    </row>
    <row r="2" spans="1:4" x14ac:dyDescent="0.35">
      <c r="A2" t="s">
        <v>23</v>
      </c>
      <c r="B2">
        <v>1</v>
      </c>
      <c r="C2">
        <f>SUMHIGH(B2:B5,2)</f>
        <v>7</v>
      </c>
      <c r="D2" t="str">
        <f ca="1">_xlfn.FORMULATEXT(C2)</f>
        <v>=SUMHIGH(B2:B5,2)</v>
      </c>
    </row>
    <row r="3" spans="1:4" x14ac:dyDescent="0.35">
      <c r="B3">
        <v>2</v>
      </c>
      <c r="C3">
        <f>SUMHIGH(B2:B5,3)</f>
        <v>9</v>
      </c>
      <c r="D3" t="str">
        <f ca="1">_xlfn.FORMULATEXT(C3)</f>
        <v>=SUMHIGH(B2:B5,3)</v>
      </c>
    </row>
    <row r="4" spans="1:4" x14ac:dyDescent="0.35">
      <c r="B4">
        <v>3</v>
      </c>
    </row>
    <row r="5" spans="1:4" x14ac:dyDescent="0.35">
      <c r="B5"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99D79-F628-4E32-84F3-BB3A2D42F19B}">
  <dimension ref="A1:D5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33</v>
      </c>
    </row>
    <row r="2" spans="1:4" x14ac:dyDescent="0.35">
      <c r="A2" t="s">
        <v>24</v>
      </c>
      <c r="B2">
        <v>1</v>
      </c>
      <c r="C2">
        <f>SUMLOW(B2:B5, 2)</f>
        <v>3</v>
      </c>
      <c r="D2" t="str">
        <f ca="1">_xlfn.FORMULATEXT(C2)</f>
        <v>=SUMLOW(B2:B5, 2)</v>
      </c>
    </row>
    <row r="3" spans="1:4" x14ac:dyDescent="0.35">
      <c r="B3">
        <v>2</v>
      </c>
      <c r="C3">
        <f>SUMLOW(B2:B5, 3)</f>
        <v>6</v>
      </c>
      <c r="D3" t="str">
        <f ca="1">_xlfn.FORMULATEXT(C3)</f>
        <v>=SUMLOW(B2:B5, 3)</v>
      </c>
    </row>
    <row r="4" spans="1:4" x14ac:dyDescent="0.35">
      <c r="B4">
        <v>3</v>
      </c>
    </row>
    <row r="5" spans="1:4" x14ac:dyDescent="0.35">
      <c r="B5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67E88-2BD4-4C97-8A3F-CC58FF552E7C}">
  <dimension ref="A1:D5"/>
  <sheetViews>
    <sheetView workbookViewId="0"/>
  </sheetViews>
  <sheetFormatPr defaultRowHeight="14.5" x14ac:dyDescent="0.35"/>
  <cols>
    <col min="1" max="1" width="13.089843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33</v>
      </c>
    </row>
    <row r="2" spans="1:4" x14ac:dyDescent="0.35">
      <c r="A2" t="s">
        <v>25</v>
      </c>
      <c r="B2">
        <v>1</v>
      </c>
      <c r="C2">
        <f>AVERAGEHIGH(B2:B5,2)</f>
        <v>3.5</v>
      </c>
      <c r="D2" t="str">
        <f ca="1">_xlfn.FORMULATEXT(C2)</f>
        <v>=AVERAGEHIGH(B2:B5,2)</v>
      </c>
    </row>
    <row r="3" spans="1:4" x14ac:dyDescent="0.35">
      <c r="B3">
        <v>2</v>
      </c>
      <c r="C3">
        <f>AVERAGEHIGH(B2:B5,3)</f>
        <v>3</v>
      </c>
      <c r="D3" t="str">
        <f ca="1">_xlfn.FORMULATEXT(C3)</f>
        <v>=AVERAGEHIGH(B2:B5,3)</v>
      </c>
    </row>
    <row r="4" spans="1:4" x14ac:dyDescent="0.35">
      <c r="B4">
        <v>3</v>
      </c>
    </row>
    <row r="5" spans="1:4" x14ac:dyDescent="0.35">
      <c r="B5">
        <v>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865B6-30AB-44A4-BF92-BB835FA43AAE}">
  <dimension ref="A1:D5"/>
  <sheetViews>
    <sheetView workbookViewId="0"/>
  </sheetViews>
  <sheetFormatPr defaultRowHeight="14.5" x14ac:dyDescent="0.35"/>
  <cols>
    <col min="1" max="1" width="12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33</v>
      </c>
    </row>
    <row r="2" spans="1:4" x14ac:dyDescent="0.35">
      <c r="A2" t="s">
        <v>26</v>
      </c>
      <c r="B2">
        <v>1</v>
      </c>
      <c r="C2">
        <f>AVERAGELOW(B2:B5,2)</f>
        <v>1.5</v>
      </c>
      <c r="D2" t="str">
        <f ca="1">_xlfn.FORMULATEXT(C2)</f>
        <v>=AVERAGELOW(B2:B5,2)</v>
      </c>
    </row>
    <row r="3" spans="1:4" x14ac:dyDescent="0.35">
      <c r="B3">
        <v>2</v>
      </c>
      <c r="C3">
        <f>AVERAGELOW(B2:B5,3)</f>
        <v>2</v>
      </c>
      <c r="D3" t="str">
        <f ca="1">_xlfn.FORMULATEXT(C3)</f>
        <v>=AVERAGELOW(B2:B5,3)</v>
      </c>
    </row>
    <row r="4" spans="1:4" x14ac:dyDescent="0.35">
      <c r="B4">
        <v>3</v>
      </c>
    </row>
    <row r="5" spans="1:4" x14ac:dyDescent="0.35">
      <c r="B5">
        <v>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0DF12-D32D-4B9B-91DF-0350539FB764}">
  <dimension ref="A1:E7"/>
  <sheetViews>
    <sheetView workbookViewId="0"/>
  </sheetViews>
  <sheetFormatPr defaultRowHeight="14.5" x14ac:dyDescent="0.35"/>
  <sheetData>
    <row r="1" spans="1:5" x14ac:dyDescent="0.35">
      <c r="A1" s="1" t="s">
        <v>0</v>
      </c>
      <c r="B1" s="4" t="s">
        <v>1</v>
      </c>
      <c r="C1" s="4"/>
      <c r="D1" s="1" t="s">
        <v>2</v>
      </c>
      <c r="E1" s="1" t="s">
        <v>33</v>
      </c>
    </row>
    <row r="2" spans="1:5" x14ac:dyDescent="0.35">
      <c r="A2" t="s">
        <v>32</v>
      </c>
      <c r="B2" t="s">
        <v>27</v>
      </c>
      <c r="C2" t="s">
        <v>30</v>
      </c>
      <c r="D2" t="b">
        <f>INRANGE(C2,B2:B4)</f>
        <v>0</v>
      </c>
      <c r="E2" t="str">
        <f ca="1">_xlfn.FORMULATEXT(D2)</f>
        <v>=INRANGE(C2,B2:B4)</v>
      </c>
    </row>
    <row r="3" spans="1:5" x14ac:dyDescent="0.35">
      <c r="B3" t="s">
        <v>28</v>
      </c>
      <c r="C3" t="s">
        <v>31</v>
      </c>
      <c r="D3" t="b">
        <f>INRANGE(C4,B2:B4)</f>
        <v>1</v>
      </c>
      <c r="E3" t="str">
        <f t="shared" ref="E3:E7" ca="1" si="0">_xlfn.FORMULATEXT(D3)</f>
        <v>=INRANGE(C4,B2:B4)</v>
      </c>
    </row>
    <row r="4" spans="1:5" x14ac:dyDescent="0.35">
      <c r="B4" t="s">
        <v>29</v>
      </c>
      <c r="C4" t="s">
        <v>27</v>
      </c>
      <c r="D4" t="b">
        <f>INRANGE(B2:B4,C2:C4)</f>
        <v>1</v>
      </c>
      <c r="E4" t="str">
        <f t="shared" ca="1" si="0"/>
        <v>=INRANGE(B2:B4,C2:C4)</v>
      </c>
    </row>
    <row r="5" spans="1:5" x14ac:dyDescent="0.35">
      <c r="D5" t="b">
        <f>INRANGE("Two",B2:B4)</f>
        <v>1</v>
      </c>
      <c r="E5" t="str">
        <f t="shared" ca="1" si="0"/>
        <v>=INRANGE("Two",B2:B4)</v>
      </c>
    </row>
    <row r="6" spans="1:5" x14ac:dyDescent="0.35">
      <c r="D6" t="b">
        <f>INRANGE("Three",B3:B5)</f>
        <v>1</v>
      </c>
      <c r="E6" t="str">
        <f t="shared" ca="1" si="0"/>
        <v>=INRANGE("Three",B3:B5)</v>
      </c>
    </row>
    <row r="7" spans="1:5" x14ac:dyDescent="0.35">
      <c r="D7" t="b">
        <f>INRANGE("Four",B4:B6)</f>
        <v>0</v>
      </c>
      <c r="E7" t="str">
        <f t="shared" ca="1" si="0"/>
        <v>=INRANGE("Four",B4:B6)</v>
      </c>
    </row>
  </sheetData>
  <mergeCells count="1">
    <mergeCell ref="B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Range</vt:lpstr>
      <vt:lpstr>FIRST_UNIQUE</vt:lpstr>
      <vt:lpstr>SORT_RANGE</vt:lpstr>
      <vt:lpstr>REVERSE_RANGE</vt:lpstr>
      <vt:lpstr>COLUMNIFY</vt:lpstr>
      <vt:lpstr>ROWIFY</vt:lpstr>
      <vt:lpstr>SUMN</vt:lpstr>
      <vt:lpstr>AVERAGEN</vt:lpstr>
      <vt:lpstr>MAXN</vt:lpstr>
      <vt:lpstr>MINN</vt:lpstr>
      <vt:lpstr>SUMHIGH</vt:lpstr>
      <vt:lpstr>SUMLOW</vt:lpstr>
      <vt:lpstr>AVERAGEHIGH</vt:lpstr>
      <vt:lpstr>AVERAGELOW</vt:lpstr>
      <vt:lpstr>INRANGE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root</cp:lastModifiedBy>
  <dcterms:created xsi:type="dcterms:W3CDTF">2020-01-15T00:00:36Z</dcterms:created>
  <dcterms:modified xsi:type="dcterms:W3CDTF">2020-01-18T23:05:52Z</dcterms:modified>
</cp:coreProperties>
</file>