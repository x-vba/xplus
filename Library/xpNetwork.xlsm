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Network\"/>
    </mc:Choice>
  </mc:AlternateContent>
  <xr:revisionPtr revIDLastSave="0" documentId="13_ncr:1_{5971E052-3028-4CDF-B757-BFD5908F8FBD}" xr6:coauthVersionLast="45" xr6:coauthVersionMax="45" xr10:uidLastSave="{00000000-0000-0000-0000-000000000000}"/>
  <bookViews>
    <workbookView xWindow="-110" yWindow="-110" windowWidth="19420" windowHeight="10420" xr2:uid="{2A72674D-8537-4A27-BA96-6EFAEC2A3995}"/>
  </bookViews>
  <sheets>
    <sheet name="HTTP" sheetId="2" r:id="rId1"/>
    <sheet name="SIMPLE_HTTP" sheetId="3" r:id="rId2"/>
    <sheet name="PARSE_HTML_STRING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4" l="1"/>
  <c r="C2" i="4" s="1"/>
  <c r="C2" i="3"/>
  <c r="C2" i="2"/>
  <c r="C9" i="2"/>
  <c r="C10" i="2"/>
  <c r="C11" i="2"/>
  <c r="C12" i="2"/>
  <c r="C7" i="2"/>
  <c r="C4" i="2"/>
  <c r="D9" i="2"/>
  <c r="D4" i="2"/>
  <c r="D2" i="4"/>
  <c r="D7" i="2"/>
  <c r="D2" i="2"/>
  <c r="D2" i="3"/>
  <c r="D12" i="2"/>
  <c r="D11" i="2"/>
  <c r="D10" i="2"/>
</calcChain>
</file>

<file path=xl/sharedStrings.xml><?xml version="1.0" encoding="utf-8"?>
<sst xmlns="http://schemas.openxmlformats.org/spreadsheetml/2006/main" count="24" uniqueCount="12">
  <si>
    <t>Function</t>
  </si>
  <si>
    <t>Input</t>
  </si>
  <si>
    <t>Output</t>
  </si>
  <si>
    <t>Formula</t>
  </si>
  <si>
    <t>https://httpbin.org/uuid</t>
  </si>
  <si>
    <t>https://en.wikipedia.org/wiki/Visual_Basic_for_Applications</t>
  </si>
  <si>
    <t>GET</t>
  </si>
  <si>
    <t>https://httpbin.org/user-agent</t>
  </si>
  <si>
    <t>https://httpbin.org/status/404</t>
  </si>
  <si>
    <t>SIMPLE_HTTP</t>
  </si>
  <si>
    <t>PARSE_HTML_STRING</t>
  </si>
  <si>
    <t>HTTP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</si>
</sst>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httpbin.org/status/404" TargetMode="External"/><Relationship Id="rId1" Type="http://schemas.openxmlformats.org/officeDocument/2006/relationships/hyperlink" Target="https://httpbin.org/uui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7C8D6-9F84-4FD9-8A03-42AB60EB09C2}">
  <sheetPr codeName="Sheet2"/>
  <dimension ref="A1:D12"/>
  <sheetViews>
    <sheetView tabSelected="1" zoomScale="80" zoomScaleNormal="80" workbookViewId="0">
      <selection activeCell="C11" sqref="C11"/>
    </sheetView>
  </sheetViews>
  <sheetFormatPr defaultRowHeight="14.5" x14ac:dyDescent="0.35"/>
  <cols>
    <col min="2" max="2" width="51.6328125" bestFit="1" customWidth="1"/>
    <col min="3" max="3" width="33.179687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11</v>
      </c>
      <c r="B2" t="s">
        <v>4</v>
      </c>
      <c r="C2" t="str">
        <f>HTTP(B2)</f>
        <v xml:space="preserve">{
  "uuid": "c6208580-89ad-4ab5-9fa0-4e983f05bad4"
}
</v>
      </c>
      <c r="D2" t="str">
        <f ca="1">_xlfn.FORMULATEXT(C2)</f>
        <v>=HTTP(B2)</v>
      </c>
    </row>
    <row r="4" spans="1:4" x14ac:dyDescent="0.35">
      <c r="B4" t="s">
        <v>7</v>
      </c>
      <c r="C4" t="str">
        <f>HTTP(B4,B5,{"User-Agent","MicrosoftExcel"})</f>
        <v xml:space="preserve">{
  "user-agent": "MicrosoftExcel"
}
</v>
      </c>
      <c r="D4" t="str">
        <f ca="1">_xlfn.FORMULATEXT(C4)</f>
        <v>=HTTP(B4,B5,{"User-Agent","MicrosoftExcel"})</v>
      </c>
    </row>
    <row r="5" spans="1:4" x14ac:dyDescent="0.35">
      <c r="B5" t="s">
        <v>6</v>
      </c>
    </row>
    <row r="7" spans="1:4" x14ac:dyDescent="0.35">
      <c r="B7" t="s">
        <v>8</v>
      </c>
      <c r="C7" t="str">
        <f>HTTP(B7,,,,,TRUE)</f>
        <v>#RequestFailedStatusCode404!</v>
      </c>
      <c r="D7" t="str">
        <f ca="1">_xlfn.FORMULATEXT(C7)</f>
        <v>=HTTP(B7,,,,,TRUE)</v>
      </c>
    </row>
    <row r="9" spans="1:4" x14ac:dyDescent="0.35">
      <c r="B9" t="s">
        <v>5</v>
      </c>
      <c r="C9" t="str">
        <f>HTTP(B9,,{"User-Agent","MicrosoftExcel"},,,,{"ID","mw-content-text","LEFT",3000})</f>
        <v>&lt;DIV class=mw-parser-output&gt;_x000D_
&lt;DIV class="shortdescription nomobile noexcerpt noprint searchaux" style="DISPLAY: none"&gt;Implementation of Microsoft's event-driven programming language Visual Basic 6&lt;/DIV&gt;_x000D_
&lt;TABLE class="infobox vevent" style="WIDTH: 22em"&gt;_x000D_
&lt;CAPTION class=summary&gt;Visual Basic for Applications&lt;/CAPTION&gt;_x000D_
&lt;TBODY&gt;_x000D_
&lt;TR&gt;_x000D_
&lt;TH scope=row&gt;&lt;A title="Programming paradigm" href="about:/wiki/Programming_paradigm"&gt;Paradigm&lt;/A&gt;&lt;/TH&gt;_x000D_
&lt;TD&gt;&lt;A title="Multi-paradigm programming language" class=mw-redirect href="about:/wiki/Multi-paradigm_programming_language"&gt;Multi-paradigm&lt;/A&gt;&lt;/TD&gt;&lt;/TR&gt;_x000D_
&lt;TR&gt;_x000D_
&lt;TH scope=row&gt;&lt;A title="Software developer" class=mw-redirect href="about:/wiki/Software_developer"&gt;Developer&lt;/A&gt;&lt;/TH&gt;_x000D_
&lt;TD class=organiser&gt;&lt;A title=Microsoft href="about:/wiki/Microsoft"&gt;Microsoft&lt;/A&gt;&lt;/TD&gt;&lt;/TR&gt;_x000D_
&lt;TR&gt;_x000D_
&lt;TH scope=row&gt;First&amp;nbsp;appeared&lt;/TH&gt;_x000D_
&lt;TD&gt;1993&lt;SPAN class=noprint&gt;; 27&amp;nbsp;years ago&lt;/SPAN&gt;&lt;SPAN style="DISPLAY: none"&gt;&amp;nbsp;(&lt;SPAN class="bday dtstart published updated"&gt;1993&lt;/SPAN&gt;)&lt;/SPAN&gt;&lt;/TD&gt;&lt;/TR&gt;_x000D_
&lt;TR&gt;_x000D_
&lt;TD style="TEXT-ALIGN: center" colSpan=2&gt;&lt;/TD&gt;&lt;/TR&gt;_x000D_
&lt;TR&gt;_x000D_
&lt;TH style="WHITE-SPACE: nowrap" scope=row&gt;&lt;A title="Software release life cycle" href="about:/wiki/Software_release_life_cycle"&gt;Stable release&lt;/A&gt;&lt;/TH&gt;_x000D_
&lt;TD&gt;_x000D_
&lt;DIV style="MARGIN: 0px"&gt;7.1 (&lt;A title="Microsoft Office 2019" href="about:/wiki/Microsoft_Office_2019"&gt;Office 2019&lt;/A&gt;) &lt;/DIV&gt;&lt;/TD&gt;&lt;/TR&gt;_x000D_
&lt;TR style="DISPLAY: none"&gt;_x000D_
&lt;TD colSpan=2&gt;&lt;/TD&gt;&lt;/TR&gt;_x000D_
&lt;TR&gt;_x000D_
&lt;TH scope=row&gt;&lt;A title="Type system" href="about:/wiki/Type_system"&gt;Typing discipline&lt;/A&gt;&lt;/TH&gt;_x000D_
&lt;TD&gt;&lt;A title="Type system" href="about:/wiki/Type_system#Combinations_of_dynamic_and_static_typing"&gt;Static/Dynamic Hybrid&lt;/A&gt;, &lt;A title="Strong and weak typing" href="about:/wiki/Strong_and_weak_typing"&gt;Strong/Weak Hybrid&lt;/A&gt;&lt;/TD&gt;&lt;/TR&gt;_x000D_
&lt;TR&gt;_x000D_
&lt;TH scope=row&gt;&lt;A title="Operating system" href="about:/wiki/Operating_system"&gt;OS&lt;/A&gt;&lt;/TH&gt;_x000D_
&lt;TD&gt;&lt;A title="Microsoft Windows" href="about:/wiki/Microsoft_Windows"&gt;Microsoft Windows&lt;/A&gt;, &lt;A title="Mac OS X" class=mw-redirect href="about:/wiki/Mac_OS_X"&gt;Mac&amp;nbsp;OS&amp;nbsp;X&lt;/A&gt;&lt;/TD&gt;&lt;/TR&gt;_x000D_
&lt;TR&gt;_x000D_
&lt;TH scope=row&gt;&lt;A title="Software license" href="about:/wiki/Software_license"&gt;License&lt;/A&gt;&lt;/TH&gt;_x000D_
&lt;TD&gt;&lt;A title="Commercial software" href="about:/wiki/Commercial_software"&gt;Commercial&lt;/A&gt; &lt;A title="Proprietary software" href="about:/wiki/Proprietary_software"&gt;proprietary software&lt;/A&gt;&lt;/TD&gt;&lt;/TR&gt;_x000D_
&lt;TR&gt;_x000D_
&lt;TH style="TEXT-ALIGN: center; BACKGROUND-COLOR: #eee" colSpan=2&gt;Influenced by&lt;/TH&gt;&lt;/TR&gt;_x000D_
&lt;TR&gt;_x000D_
&lt;TD style="TEXT-ALIGN: center" colSpan=2&gt;&lt;A title=QuickBASIC href="about:/wiki/QuickBASIC"&gt;QuickBASIC&lt;/A&gt;, &lt;A title="Visual Basic" href="about:/wiki/Visual_Basic"&gt;Visual Basic&lt;/A&gt;&lt;/TD&gt;&lt;/TR&gt;&lt;/TBODY&gt;&lt;/TABLE&gt;_x000D_
&lt;P&gt;&lt;B&gt;Visual Basic for Applications&lt;/B&gt; (&lt;B&gt;VBA&lt;/B&gt;) is an implementation of &lt;A title=Microsoft href="about:/wiki/Microsoft"&gt;Microsoft&lt;/A&gt;'s &lt;A title="Event-driven programming" href="about:/wiki/Event-driven_programming"&gt;event-driven programming&lt;/A&gt; language &lt;A title="Visual Basic" href="about:/wiki/Visual_Basic"&gt;Visual</v>
      </c>
      <c r="D9" t="str">
        <f ca="1">_xlfn.FORMULATEXT(C9)</f>
        <v>=HTTP(B9,,{"User-Agent","MicrosoftExcel"},,,,{"ID","mw-content-text","LEFT",3000})</v>
      </c>
    </row>
    <row r="10" spans="1:4" x14ac:dyDescent="0.35">
      <c r="B10" t="s">
        <v>5</v>
      </c>
      <c r="C10" t="str">
        <f>HTTP(B10,,{"User-Agent","MicrosoftExcel"},,,,{"ID","mw-content-text","LEFT",3000,"MID","appeared"})</f>
        <v>&lt;/TH&gt;_x000D_
&lt;TD&gt;1993&lt;SPAN class=noprint&gt;; 27&amp;nbsp;years ago&lt;/SPAN&gt;&lt;SPAN style="DISPLAY: none"&gt;&amp;nbsp;(&lt;SPAN class="bday dtstart published updated"&gt;1993&lt;/SPAN&gt;)&lt;/SPAN&gt;&lt;/TD&gt;&lt;/TR&gt;_x000D_
&lt;TR&gt;_x000D_
&lt;TD style="TEXT-ALIGN: center" colSpan=2&gt;&lt;/TD&gt;&lt;/TR&gt;_x000D_
&lt;TR&gt;_x000D_
&lt;TH style="WHITE-SPACE: nowrap" scope=row&gt;&lt;A title="Software release life cycle" href="about:/wiki/Software_release_life_cycle"&gt;Stable release&lt;/A&gt;&lt;/TH&gt;_x000D_
&lt;TD&gt;_x000D_
&lt;DIV style="MARGIN: 0px"&gt;7.1 (&lt;A title="Microsoft Office 2019" href="about:/wiki/Microsoft_Office_2019"&gt;Office 2019&lt;/A&gt;) &lt;/DIV&gt;&lt;/TD&gt;&lt;/TR&gt;_x000D_
&lt;TR style="DISPLAY: none"&gt;_x000D_
&lt;TD colSpan=2&gt;&lt;/TD&gt;&lt;/TR&gt;_x000D_
&lt;TR&gt;_x000D_
&lt;TH scope=row&gt;&lt;A title="Type system" href="about:/wiki/Type_system"&gt;Typing discipline&lt;/A&gt;&lt;/TH&gt;_x000D_
&lt;TD&gt;&lt;A title="Type system" href="about:/wiki/Type_system#Combinations_of_dynamic_and_static_typing"&gt;Static/Dynamic Hybrid&lt;/A&gt;, &lt;A title="Strong and weak typing" href="about:/wiki/Strong_and_weak_typing"&gt;Strong/Weak Hybrid&lt;/A&gt;&lt;/TD&gt;&lt;/TR&gt;_x000D_
&lt;TR&gt;_x000D_
&lt;TH scope=row&gt;&lt;A title="Operating system" href="about:/wiki/Operating_system"&gt;OS&lt;/A&gt;&lt;/TH&gt;_x000D_
&lt;TD&gt;&lt;A title="Microsoft Windows" href="about:/wiki/Microsoft_Windows"&gt;Microsoft Windows&lt;/A&gt;, &lt;A title="Mac OS X" class=mw-redirect href="about:/wiki/Mac_OS_X"&gt;Mac&amp;nbsp;OS&amp;nbsp;X&lt;/A&gt;&lt;/TD&gt;&lt;/TR&gt;_x000D_
&lt;TR&gt;_x000D_
&lt;TH scope=row&gt;&lt;A title="Software license" href="about:/wiki/Software_license"&gt;License&lt;/A&gt;&lt;/TH&gt;_x000D_
&lt;TD&gt;&lt;A title="Commercial software" href="about:/wiki/Commercial_software"&gt;Commercial&lt;/A&gt; &lt;A title="Proprietary software" href="about:/wiki/Proprietary_software"&gt;proprietary software&lt;/A&gt;&lt;/TD&gt;&lt;/TR&gt;_x000D_
&lt;TR&gt;_x000D_
&lt;TH style="TEXT-ALIGN: center; BACKGROUND-COLOR: #eee" colSpan=2&gt;Influenced by&lt;/TH&gt;&lt;/TR&gt;_x000D_
&lt;TR&gt;_x000D_
&lt;TD style="TEXT-ALIGN: center" colSpan=2&gt;&lt;A title=QuickBASIC href="about:/wiki/QuickBASIC"&gt;QuickBASIC&lt;/A&gt;, &lt;A title="Visual Basic" href="about:/wiki/Visual_Basic"&gt;Visual Basic&lt;/A&gt;&lt;/TD&gt;&lt;/TR&gt;&lt;/TBODY&gt;&lt;/TABLE&gt;_x000D_
&lt;P&gt;&lt;B&gt;Visual Basic for Applications&lt;/B&gt; (&lt;B&gt;VBA&lt;/B&gt;) is an implementation of &lt;A title=Microsoft href="about:/wiki/Microsoft"&gt;Microsoft&lt;/A&gt;'s &lt;A title="Event-driven programming" href="about:/wiki/Event-driven_programming"&gt;event-driven programming&lt;/A&gt; language &lt;A title="Visual Basic" href="about:/wiki/Visual_Basic"&gt;Visual</v>
      </c>
      <c r="D10" t="str">
        <f ca="1">_xlfn.FORMULATEXT(C10)</f>
        <v>=HTTP(B10,,{"User-Agent","MicrosoftExcel"},,,,{"ID","mw-content-text","LEFT",3000,"MID","appeared"})</v>
      </c>
    </row>
    <row r="11" spans="1:4" x14ac:dyDescent="0.35">
      <c r="B11" t="s">
        <v>5</v>
      </c>
      <c r="C11" t="str">
        <f>HTTP(B11,,{"User-Agent","MicrosoftExcel"},,,,{"ID","mw-content-text","LEFT",3000,"MID","appeared","MID","&lt;TD&gt;"})</f>
        <v>1993&lt;SPAN class=noprint&gt;; 27&amp;nbsp;years ago&lt;/SPAN&gt;&lt;SPAN style="DISPLAY: none"&gt;&amp;nbsp;(&lt;SPAN class="bday dtstart published updated"&gt;1993&lt;/SPAN&gt;)&lt;/SPAN&gt;&lt;/TD&gt;&lt;/TR&gt;_x000D_
&lt;TR&gt;_x000D_
&lt;TD style="TEXT-ALIGN: center" colSpan=2&gt;&lt;/TD&gt;&lt;/TR&gt;_x000D_
&lt;TR&gt;_x000D_
&lt;TH style="WHITE-SPACE: nowrap" scope=row&gt;&lt;A title="Software release life cycle" href="about:/wiki/Software_release_life_cycle"&gt;Stable release&lt;/A&gt;&lt;/TH&gt;_x000D_
&lt;TD&gt;_x000D_
&lt;DIV style="MARGIN: 0px"&gt;7.1 (&lt;A title="Microsoft Office 2019" href="about:/wiki/Microsoft_Office_2019"&gt;Office 2019&lt;/A&gt;) &lt;/DIV&gt;&lt;/TD&gt;&lt;/TR&gt;_x000D_
&lt;TR style="DISPLAY: none"&gt;_x000D_
&lt;TD colSpan=2&gt;&lt;/TD&gt;&lt;/TR&gt;_x000D_
&lt;TR&gt;_x000D_
&lt;TH scope=row&gt;&lt;A title="Type system" href="about:/wiki/Type_system"&gt;Typing discipline&lt;/A&gt;&lt;/TH&gt;_x000D_
&lt;TD&gt;&lt;A title="Type system" href="about:/wiki/Type_system#Combinations_of_dynamic_and_static_typing"&gt;Static/Dynamic Hybrid&lt;/A&gt;, &lt;A title="Strong and weak typing" href="about:/wiki/Strong_and_weak_typing"&gt;Strong/Weak Hybrid&lt;/A&gt;&lt;/TD&gt;&lt;/TR&gt;_x000D_
&lt;TR&gt;_x000D_
&lt;TH scope=row&gt;&lt;A title="Operating system" href="about:/wiki/Operating_system"&gt;OS&lt;/A&gt;&lt;/TH&gt;_x000D_
&lt;TD&gt;&lt;A title="Microsoft Windows" href="about:/wiki/Microsoft_Windows"&gt;Microsoft Windows&lt;/A&gt;, &lt;A title="Mac OS X" class=mw-redirect href="about:/wiki/Mac_OS_X"&gt;Mac&amp;nbsp;OS&amp;nbsp;X&lt;/A&gt;&lt;/TD&gt;&lt;/TR&gt;_x000D_
&lt;TR&gt;_x000D_
&lt;TH scope=row&gt;&lt;A title="Software license" href="about:/wiki/Software_license"&gt;License&lt;/A&gt;&lt;/TH&gt;_x000D_
&lt;TD&gt;&lt;A title="Commercial software" href="about:/wiki/Commercial_software"&gt;Commercial&lt;/A&gt; &lt;A title="Proprietary software" href="about:/wiki/Proprietary_software"&gt;proprietary software&lt;/A&gt;&lt;/TD&gt;&lt;/TR&gt;_x000D_
&lt;TR&gt;_x000D_
&lt;TH style="TEXT-ALIGN: center; BACKGROUND-COLOR: #eee" colSpan=2&gt;Influenced by&lt;/TH&gt;&lt;/TR&gt;_x000D_
&lt;TR&gt;_x000D_
&lt;TD style="TEXT-ALIGN: center" colSpan=2&gt;&lt;A title=QuickBASIC href="about:/wiki/QuickBASIC"&gt;QuickBASIC&lt;/A&gt;, &lt;A title="Visual Basic" href="about:/wiki/Visual_Basic"&gt;Visual Basic&lt;/A&gt;&lt;/TD&gt;&lt;/TR&gt;&lt;/TBODY&gt;&lt;/TABLE&gt;_x000D_
&lt;P&gt;&lt;B&gt;Visual Basic for Applications&lt;/B&gt; (&lt;B&gt;VBA&lt;/B&gt;) is an implementation of &lt;A title=Microsoft href="about:/wiki/Microsoft"&gt;Microsoft&lt;/A&gt;'s &lt;A title="Event-driven programming" href="about:/wiki/Event-driven_programming"&gt;event-driven programming&lt;/A&gt; language &lt;A title="Visual Basic" href="about:/wiki/Visual_Basic"&gt;Visual</v>
      </c>
      <c r="D11" t="str">
        <f ca="1">_xlfn.FORMULATEXT(C11)</f>
        <v>=HTTP(B11,,{"User-Agent","MicrosoftExcel"},,,,{"ID","mw-content-text","LEFT",3000,"MID","appeared","MID","&lt;TD&gt;"})</v>
      </c>
    </row>
    <row r="12" spans="1:4" x14ac:dyDescent="0.35">
      <c r="B12" t="s">
        <v>5</v>
      </c>
      <c r="C12" t="str">
        <f>HTTP(B12,,{"User-Agent","MicrosoftExcel"},,,,{"ID","mw-content-text","LEFT",3000,"MID","appeared","MID","&lt;TD&gt;","LEFT","&lt;span"})</f>
        <v>1993</v>
      </c>
      <c r="D12" t="str">
        <f ca="1">_xlfn.FORMULATEXT(C12)</f>
        <v>=HTTP(B12,,{"User-Agent","MicrosoftExcel"},,,,{"ID","mw-content-text","LEFT",3000,"MID","appeared","MID","&lt;TD&gt;","LEFT","&lt;span"})</v>
      </c>
    </row>
  </sheetData>
  <hyperlinks>
    <hyperlink ref="B2" r:id="rId1" xr:uid="{F7288F58-F120-490D-8B1D-3D4B5E5C365E}"/>
    <hyperlink ref="B7" r:id="rId2" xr:uid="{9501DE24-C60E-4184-B805-A41640DB9BB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A69D1-C711-4F4F-97DB-ED3492393DC0}">
  <sheetPr codeName="Sheet3"/>
  <dimension ref="A1:D2"/>
  <sheetViews>
    <sheetView workbookViewId="0"/>
  </sheetViews>
  <sheetFormatPr defaultRowHeight="14.5" x14ac:dyDescent="0.35"/>
  <cols>
    <col min="1" max="1" width="12.08984375" bestFit="1" customWidth="1"/>
    <col min="2" max="2" width="51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9</v>
      </c>
      <c r="B2" t="s">
        <v>5</v>
      </c>
      <c r="C2" t="str">
        <f>SIMPLE_HTTP(B2,"ID","mw-content-text","LEFT",3000,"MID","appeared","MID","&lt;TD&gt;","LEFT","&lt;span")</f>
        <v>1993</v>
      </c>
      <c r="D2" t="str">
        <f ca="1">_xlfn.FORMULATEXT(C2)</f>
        <v>=SIMPLE_HTTP(B2,"ID","mw-content-text","LEFT",3000,"MID","appeared","MID","&lt;TD&gt;","LEFT","&lt;span")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7E918-F2A3-4CA5-AB9C-7FFFA1DDF00B}">
  <sheetPr codeName="Sheet4"/>
  <dimension ref="A1:D2"/>
  <sheetViews>
    <sheetView workbookViewId="0">
      <selection activeCell="A2" sqref="A2"/>
    </sheetView>
  </sheetViews>
  <sheetFormatPr defaultRowHeight="14.5" x14ac:dyDescent="0.35"/>
  <cols>
    <col min="1" max="1" width="19.08984375" bestFit="1" customWidth="1"/>
    <col min="2" max="2" width="19.1796875" customWidth="1"/>
    <col min="3" max="3" width="2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10</v>
      </c>
      <c r="B2" t="str">
        <f>SIMPLE_HTTP("http://example.webscraping.com/places/default/view/United-States-240")</f>
        <v xml:space="preserve">&lt;!--[if HTML5]&gt;&lt;![endif]--&gt;
&lt;!DOCTYPE html&gt;
&lt;!-- paulirish.com/2008/conditional-stylesheets-vs-css-hacks-answer-neither/ --&gt;
&lt;!--[if lt IE 7]&gt;&lt;html class="ie ie6 ie-lte9 ie-lte8 ie-lte7 no-js" lang="en-us"&gt; &lt;![endif]--&gt;
&lt;!--[if IE 7]&gt;&lt;html class="ie ie7 ie-lte9 ie-lte8 ie-lte7 no-js" lang="en-us"&gt; &lt;![endif]--&gt;
&lt;!--[if IE 8]&gt;&lt;html class="ie ie8 ie-lte9 ie-lte8 no-js" lang="en-us"&gt; &lt;![endif]--&gt;
&lt;!--[if IE 9]&gt;&lt;html class="ie9 ie-lte9 no-js" lang="en-us"&gt; &lt;![endif]--&gt;
&lt;!--[if (gt IE 9)|!(IE)]&gt;&lt;!--&gt; &lt;html class="no-js" lang="en-us"&gt; &lt;!--&lt;![endif]--&gt;
&lt;head&gt;
&lt;title&gt;Example web scraping website&lt;/title&gt;
  &lt;!--[if !HTML5]&gt;
      &lt;meta http-equiv="X-UA-Compatible" content="IE=edge,chrome=1"&gt;
  &lt;![endif]--&gt;
  &lt;!-- www.phpied.com/conditional-comments-block-downloads/ --&gt;
  &lt;!-- Always force latest IE rendering engine
       (even in intranet) &amp; Chrome Frame
       Remove this if you use the .htaccess --&gt;
  &lt;meta charset="utf-8" /&gt;
  &lt;!-- http://dev.w3.org/html5/markup/meta.name.html --&gt;
  &lt;meta name="application-name" content="places" /&gt;
  &lt;!--  Mobile Viewport Fix
        j.mp/mobileviewport &amp; davidbcalhoun.com/2010/viewport-metatag
        device-width: Occupy full width of the screen in its current orientation
        initial-scale = 1.0 retains dimensions instead of zooming out if page height &gt; device height
        user-scalable = yes allows the user to zoom in --&gt;
  &lt;meta name="viewport" content="width=device-width, initial-scale=1.0" /&gt;
  &lt;link rel="shortcut icon" href="/places/static/images/favicon.ico" type="image/x-icon"&gt;
  &lt;link rel="apple-touch-icon" href="/places/static/images/favicon.png"&gt;
  &lt;!-- All JavaScript at the bottom, except for Modernizr which enables
       HTML5 elements &amp; feature detects --&gt;
  &lt;script src="/places/static/js/modernizr.custom.js"&gt;&lt;/script&gt;
  &lt;!-- include stylesheets --&gt;
  &lt;script type="text/javascript"&gt;&lt;!--
    // These variables are used by the web2py_ajax_init function in web2py_ajax.js (which is loaded below).
    var w2p_ajax_confirm_message = "Are you sure you want to delete this object?";
    var w2p_ajax_disable_with_message = "Working...";
    var w2p_ajax_date_format = "%Y-%m-%d";
    var w2p_ajax_datetime_format = "%Y-%m-%d %H:%M:%S";
    var ajax_error_500 = 'An error occured, please &lt;a href="/places/default/view/United-States-240"&gt;reload&lt;/a&gt; the page'
    //--&gt;&lt;/script&gt;
&lt;meta name="keywords" content="web2py, python, web scraping" /&gt;
&lt;meta name="generator" content="Web2py Web Framework" /&gt;
&lt;meta name="author" content="Richard Penman" /&gt;
&lt;script src="/places/static/js/jquery.js" type="text/javascript"&gt;&lt;/script&gt;&lt;link href="/places/static/css/calendar.css" rel="stylesheet" type="text/css" /&gt;&lt;script src="/places/static/js/calendar.js" type="text/javascript"&gt;&lt;/script&gt;&lt;script src="/places/static/js/web2py.js" type="text/javascript"&gt;&lt;/script&gt;&lt;link href="/places/static/css/web2py.css" rel="stylesheet" type="text/css" /&gt;&lt;link href="/places/static/css/bootstrap.min.css" rel="stylesheet" type="text/css" /&gt;&lt;link href="/places/static/css/bootstrap-responsive.min.css" rel="stylesheet" type="text/css" /&gt;&lt;link href="/places/static/css/style.css" rel="stylesheet" type="text/css" /&gt;&lt;link href="/places/static/css/web2py_bootstrap.css" rel="stylesheet" type="text/css" /&gt;
  &lt;!-- uncomment here to load jquery-ui
       &lt;link rel="stylesheet" href="http://ajax.googleapis.com/ajax/libs/jqueryui/1.10.3/themes/ui-lightness/jquery-ui.css" type="text/css" media="all" /&gt;
       &lt;script src="http://ajax.googleapis.com/ajax/libs/jqueryui/1.10.3/jquery-ui.min.js" type="text/javascript"&gt;&lt;/script&gt;
       uncomment to load jquery-ui //--&gt;
  &lt;noscript&gt;&lt;link href="/places/static/css/web2py_bootstrap_nojs.css" rel="stylesheet" type="text/css" /&gt;&lt;/noscript&gt;
&lt;/head&gt;
&lt;body&gt;
  &lt;!-- Navbar ================================================== --&gt;
  &lt;div class="navbar navbar-inverse"&gt;
    &lt;div class="flash"&gt;&lt;/div&gt;
    &lt;div class="navbar-inner"&gt;
      &lt;div class="container"&gt;
        &lt;!-- the next tag is necessary for bootstrap menus, do not remove --&gt;
        &lt;button type="button" class="btn btn-navbar" data-toggle="collapse" data-target=".nav-collapse" style="display:none;"&gt;
          &lt;span class="icon-bar"&gt;&lt;/span&gt;
          &lt;span class="icon-bar"&gt;&lt;/span&gt;
          &lt;span class="icon-bar"&gt;&lt;/span&gt;
        &lt;/button&gt;
        &lt;ul id="navbar" class="nav pull-right"&gt;&lt;li class="dropdown"&gt;&lt;a class="dropdown-toggle" data-toggle="dropdown" href="#" rel="nofollow"&gt;Log In&lt;/a&gt;&lt;ul class="dropdown-menu"&gt;&lt;li&gt;&lt;a href="/places/default/user/register?_next=/places/default/view/United-States-240" rel="nofollow"&gt;&lt;i class="icon icon-user glyphicon glyphicon-user"&gt;&lt;/i&gt; Sign Up&lt;/a&gt;&lt;/li&gt;&lt;li class="divider"&gt;&lt;/li&gt;&lt;li&gt;&lt;a href="/places/default/user/login?_next=/places/default/view/United-States-240" rel="nofollow"&gt;&lt;i class="icon icon-off glyphicon glyphicon-off"&gt;&lt;/i&gt; Log In&lt;/a&gt;&lt;/li&gt;&lt;/ul&gt;&lt;/li&gt;&lt;/ul&gt;
        &lt;div class="nav"&gt;
          &lt;ul class="nav"&gt;&lt;li class="web2py-menu-first"&gt;&lt;a href="/places/default/index"&gt;Home&lt;/a&gt;&lt;/li&gt;&lt;li class="web2py-menu-last"&gt;&lt;a href="/places/default/search"&gt;Search&lt;/a&gt;&lt;/li&gt;&lt;/ul&gt;
        &lt;/div&gt;&lt;!--/.nav-collapse --&gt;
      &lt;/div&gt;
    &lt;/div&gt;
  &lt;/div&gt;&lt;!--/top navbar --&gt;
  &lt;div class="container"&gt;
    &lt;!-- Masthead ================================================== --&gt;
    &lt;header class="mastheader row" id="header"&gt;
        &lt;div class="span12"&gt;
            &lt;div class="page-header"&gt;
                &lt;h1&gt;
                    Example web scraping website
                    &lt;small&gt;&lt;/small&gt;
                &lt;/h1&gt;
            &lt;/div&gt;
        &lt;/div&gt;
    &lt;/header&gt;
    &lt;section id="main" class="main row"&gt;
        &lt;div class="span12"&gt;
&lt;form action="#" enctype="multipart/form-data" method="post"&gt;&lt;table&gt;&lt;tr id="places_national_flag__row"&gt;&lt;td class="w2p_fl"&gt;&lt;label class="readonly" for="places_national_flag" id="places_national_flag__label"&gt;National Flag: &lt;/label&gt;&lt;/td&gt;&lt;td class="w2p_fw"&gt;&lt;img src="/places/static/images/flags/us.png" /&gt;&lt;/td&gt;&lt;td class="w2p_fc"&gt;&lt;/td&gt;&lt;/tr&gt;&lt;tr id="places_area__row"&gt;&lt;td class="w2p_fl"&gt;&lt;label class="readonly" for="places_area" id="places_area__label"&gt;Area: &lt;/label&gt;&lt;/td&gt;&lt;td class="w2p_fw"&gt;9,629,091 square kilometres&lt;/td&gt;&lt;td class="w2p_fc"&gt;&lt;/td&gt;&lt;/tr&gt;&lt;tr id="places_population__row"&gt;&lt;td class="w2p_fl"&gt;&lt;label class="readonly" for="places_population" id="places_population__label"&gt;Population: &lt;/label&gt;&lt;/td&gt;&lt;td class="w2p_fw"&gt;310,232,863&lt;/td&gt;&lt;td class="w2p_fc"&gt;&lt;/td&gt;&lt;/tr&gt;&lt;tr id="places_iso__row"&gt;&lt;td class="w2p_fl"&gt;&lt;label class="readonly" for="places_iso" id="places_iso__label"&gt;Iso: &lt;/label&gt;&lt;/td&gt;&lt;td class="w2p_fw"&gt;US&lt;/td&gt;&lt;td class="w2p_fc"&gt;&lt;/td&gt;&lt;/tr&gt;&lt;tr id="places_country__row"&gt;&lt;td class="w2p_fl"&gt;&lt;label class="readonly" for="places_country" id="places_country__label"&gt;Country: &lt;/label&gt;&lt;/td&gt;&lt;td class="w2p_fw"&gt;United States&lt;/td&gt;&lt;td class="w2p_fc"&gt;&lt;/td&gt;&lt;/tr&gt;&lt;tr id="places_capital__row"&gt;&lt;td class="w2p_fl"&gt;&lt;label class="readonly" for="places_capital" id="places_capital__label"&gt;Capital: &lt;/label&gt;&lt;/td&gt;&lt;td class="w2p_fw"&gt;Washington&lt;/td&gt;&lt;td class="w2p_fc"&gt;&lt;/td&gt;&lt;/tr&gt;&lt;tr id="places_continent__row"&gt;&lt;td class="w2p_fl"&gt;&lt;label class="readonly" for="places_continent" id="places_continent__label"&gt;Continent: &lt;/label&gt;&lt;/td&gt;&lt;td class="w2p_fw"&gt;&lt;a href="/places/default/continent/NA"&gt;NA&lt;/a&gt;&lt;/td&gt;&lt;td class="w2p_fc"&gt;&lt;/td&gt;&lt;/tr&gt;&lt;tr id="places_tld__row"&gt;&lt;td class="w2p_fl"&gt;&lt;label class="readonly" for="places_tld" id="places_tld__label"&gt;Tld: &lt;/label&gt;&lt;/td&gt;&lt;td class="w2p_fw"&gt;.us&lt;/td&gt;&lt;td class="w2p_fc"&gt;&lt;/td&gt;&lt;/tr&gt;&lt;tr id="places_currency_code__row"&gt;&lt;td class="w2p_fl"&gt;&lt;label class="readonly" for="places_currency_code" id="places_currency_code__label"&gt;Currency Code: &lt;/label&gt;&lt;/td&gt;&lt;td class="w2p_fw"&gt;USD&lt;/td&gt;&lt;td class="w2p_fc"&gt;&lt;/td&gt;&lt;/tr&gt;&lt;tr id="places_currency_name__row"&gt;&lt;td class="w2p_fl"&gt;&lt;label class="readonly" for="places_currency_name" id="places_currency_name__label"&gt;Currency Name: &lt;/label&gt;&lt;/td&gt;&lt;td class="w2p_fw"&gt;Dollar&lt;/td&gt;&lt;td class="w2p_fc"&gt;&lt;/td&gt;&lt;/tr&gt;&lt;tr id="places_phone__row"&gt;&lt;td class="w2p_fl"&gt;&lt;label class="readonly" for="places_phone" id="places_phone__label"&gt;Phone: &lt;/label&gt;&lt;/td&gt;&lt;td class="w2p_fw"&gt;1&lt;/td&gt;&lt;td class="w2p_fc"&gt;&lt;/td&gt;&lt;/tr&gt;&lt;tr id="places_postal_code_format__row"&gt;&lt;td class="w2p_fl"&gt;&lt;label class="readonly" for="places_postal_code_format" id="places_postal_code_format__label"&gt;Postal Code Format: &lt;/label&gt;&lt;/td&gt;&lt;td class="w2p_fw"&gt;#####-####&lt;/td&gt;&lt;td class="w2p_fc"&gt;&lt;/td&gt;&lt;/tr&gt;&lt;tr id="places_postal_code_regex__row"&gt;&lt;td class="w2p_fl"&gt;&lt;label class="readonly" for="places_postal_code_regex" id="places_postal_code_regex__label"&gt;Postal Code Regex: &lt;/label&gt;&lt;/td&gt;&lt;td class="w2p_fw"&gt;^\d{5}(-\d{4})?$&lt;/td&gt;&lt;td class="w2p_fc"&gt;&lt;/td&gt;&lt;/tr&gt;&lt;tr id="places_languages__row"&gt;&lt;td class="w2p_fl"&gt;&lt;label class="readonly" for="places_languages" id="places_languages__label"&gt;Languages: &lt;/label&gt;&lt;/td&gt;&lt;td class="w2p_fw"&gt;en-US,es-US,haw,fr&lt;/td&gt;&lt;td class="w2p_fc"&gt;&lt;/td&gt;&lt;/tr&gt;&lt;tr id="places_neighbours__row"&gt;&lt;td class="w2p_fl"&gt;&lt;label class="readonly" for="places_neighbours" id="places_neighbours__label"&gt;Neighbours: &lt;/label&gt;&lt;/td&gt;&lt;td class="w2p_fw"&gt;&lt;div&gt;&lt;a href="/places/default/iso/CA"&gt;CA &lt;/a&gt;&lt;a href="/places/default/iso/MX"&gt;MX &lt;/a&gt;&lt;a href="/places/default/iso/CU"&gt;CU &lt;/a&gt;&lt;/div&gt;&lt;/td&gt;&lt;td class="w2p_fc"&gt;&lt;/td&gt;&lt;/tr&gt;&lt;/table&gt;&lt;div style="display:none;"&gt;&lt;input name="id" type="hidden" value="5879148" /&gt;&lt;/div&gt;&lt;/form&gt;
&lt;a href="/places/default/edit/United-States-240"&gt;Edit&lt;/a&gt;
        &lt;/div&gt;
    &lt;/section&gt;&lt;!--/main--&gt;
    &lt;!-- Footer ================================================== --&gt;
    &lt;div class="row"&gt;
        &lt;footer class="footer span12" id="footer"&gt;
        &lt;/footer&gt;
    &lt;/div&gt;
  &lt;/div&gt; &lt;!-- /container --&gt;
  &lt;!-- The javascript =============================================
       (Placed at the end of the document so the pages load faster) --&gt;
  &lt;script src="/places/static/js/bootstrap.min.js"&gt;&lt;/script&gt;
  &lt;script src="/places/static/js/web2py_bootstrap.js"&gt;&lt;/script&gt;
  &lt;!--[if lt IE 7 ]&gt;
      &lt;script src="/places/static/js/dd_belatedpng.js"&gt;&lt;/script&gt;
      &lt;script&gt; DD_belatedPNG.fix('img, .png_bg'); //fix any &lt;img&gt; or .png_bg background-images &lt;/script&gt;
      &lt;![endif]--&gt;
&lt;/body&gt;
&lt;/html&gt;
</v>
      </c>
      <c r="C2" t="str">
        <f>PARSE_HTML_STRING(B2,{"ID","places_area__row","MID","w2p_fw","MID",2,"LEFT","&lt;"})</f>
        <v>9,629,091 square kilometres</v>
      </c>
      <c r="D2" t="str">
        <f ca="1">_xlfn.FORMULATEXT(C2)</f>
        <v>=PARSE_HTML_STRING(B2,{"ID","places_area__row","MID","w2p_fw","MID",2,"LEFT","&lt;"})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HTTP</vt:lpstr>
      <vt:lpstr>SIMPLE_HTTP</vt:lpstr>
      <vt:lpstr>PARSE_HTML_STRING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2020-02-16T14:32:59Z</dcterms:created>
  <dcterms:modified xsi:type="dcterms:W3CDTF">2020-02-27T21:36:57Z</dcterms:modified>
</cp:coreProperties>
</file>