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ny\Desktop\XVBA\XPlus\Library\xpStringManipulation\"/>
    </mc:Choice>
  </mc:AlternateContent>
  <xr:revisionPtr revIDLastSave="0" documentId="13_ncr:1_{9ED6D416-3847-4B01-AF23-7C94076A3F31}" xr6:coauthVersionLast="45" xr6:coauthVersionMax="45" xr10:uidLastSave="{00000000-0000-0000-0000-000000000000}"/>
  <bookViews>
    <workbookView xWindow="-110" yWindow="-110" windowWidth="19420" windowHeight="10420" firstSheet="32" activeTab="34" xr2:uid="{BF9DD74E-60EC-4AC1-A9B9-6B6F18E14991}"/>
  </bookViews>
  <sheets>
    <sheet name="StringManipulation" sheetId="2" r:id="rId1"/>
    <sheet name="CAPITALIZE" sheetId="18" r:id="rId2"/>
    <sheet name="LEFT_FIND" sheetId="17" r:id="rId3"/>
    <sheet name="RIGHT_FIND" sheetId="16" r:id="rId4"/>
    <sheet name="LEFT_SEARCH" sheetId="15" r:id="rId5"/>
    <sheet name="RIGHT_SEARCH" sheetId="14" r:id="rId6"/>
    <sheet name="SUBSTR" sheetId="13" r:id="rId7"/>
    <sheet name="SUBSTR_FIND" sheetId="32" r:id="rId8"/>
    <sheet name="SUBSTR_SEARCH" sheetId="12" r:id="rId9"/>
    <sheet name="REPEAT" sheetId="11" r:id="rId10"/>
    <sheet name="FORMATTER" sheetId="10" r:id="rId11"/>
    <sheet name="ZFILL" sheetId="9" r:id="rId12"/>
    <sheet name="SPLIT_TEXT" sheetId="7" r:id="rId13"/>
    <sheet name="COUNT_WORDS" sheetId="6" r:id="rId14"/>
    <sheet name="CAMEL_CASE" sheetId="5" r:id="rId15"/>
    <sheet name="KEBAB_CASE" sheetId="3" r:id="rId16"/>
    <sheet name="REMOVE_CHARACTERS" sheetId="4" r:id="rId17"/>
    <sheet name="COMPANY_CASE" sheetId="19" r:id="rId18"/>
    <sheet name="REVERSE_TEXT" sheetId="20" r:id="rId19"/>
    <sheet name="REVERSE_WORDS" sheetId="21" r:id="rId20"/>
    <sheet name="INDENT" sheetId="24" r:id="rId21"/>
    <sheet name="DEDENT" sheetId="22" r:id="rId22"/>
    <sheet name="SHORTEN" sheetId="25" r:id="rId23"/>
    <sheet name="INSPLIT" sheetId="26" r:id="rId24"/>
    <sheet name="ELITE_CASE" sheetId="27" r:id="rId25"/>
    <sheet name="SCRAMBLE_CASE" sheetId="28" r:id="rId26"/>
    <sheet name="LEFT_SPLIT" sheetId="29" r:id="rId27"/>
    <sheet name="RIGHT_SPLIT" sheetId="30" r:id="rId28"/>
    <sheet name="SUBSTITUTE_ALL" sheetId="31" r:id="rId29"/>
    <sheet name="INSTRING" sheetId="33" r:id="rId30"/>
    <sheet name="TRIM_CHAR" sheetId="34" r:id="rId31"/>
    <sheet name="TRIM_LEFT" sheetId="35" r:id="rId32"/>
    <sheet name="TRIM_RIGHT" sheetId="36" r:id="rId33"/>
    <sheet name="COUNT_UPPERCASE_CHARACTERS" sheetId="37" r:id="rId34"/>
    <sheet name="COUNT_LOWERCASE_CHARACTERS" sheetId="38" r:id="rId35"/>
  </sheets>
  <functionGroups builtInGroupCount="19"/>
  <definedNames>
    <definedName name="_xlnm._FilterDatabase" localSheetId="17" hidden="1">COMPANY_CASE!$B$15:$G$520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1" i="2" l="1"/>
  <c r="C27" i="2"/>
  <c r="C24" i="2"/>
  <c r="C2" i="38"/>
  <c r="D2" i="38"/>
  <c r="C2" i="37"/>
  <c r="D2" i="37"/>
  <c r="C10" i="30"/>
  <c r="C2" i="2"/>
  <c r="C2" i="26"/>
  <c r="C3" i="6"/>
  <c r="C6" i="19"/>
  <c r="C2" i="10"/>
  <c r="C12" i="33"/>
  <c r="C4" i="26"/>
  <c r="C19" i="33"/>
  <c r="C5" i="32"/>
  <c r="C42" i="2"/>
  <c r="C18" i="12"/>
  <c r="C44" i="2"/>
  <c r="C2" i="21"/>
  <c r="C8" i="19"/>
  <c r="C43" i="2"/>
  <c r="C3" i="30"/>
  <c r="C2" i="15"/>
  <c r="C16" i="32"/>
  <c r="C4" i="21"/>
  <c r="C39" i="2"/>
  <c r="C2" i="5"/>
  <c r="C13" i="32"/>
  <c r="C4" i="24"/>
  <c r="C4" i="4"/>
  <c r="C4" i="29"/>
  <c r="C9" i="12"/>
  <c r="C2" i="16"/>
  <c r="C2" i="34"/>
  <c r="C5" i="24"/>
  <c r="C3" i="24"/>
  <c r="C2" i="24"/>
  <c r="C2" i="20"/>
  <c r="C18" i="32"/>
  <c r="C6" i="9"/>
  <c r="C18" i="33"/>
  <c r="C7" i="24"/>
  <c r="C19" i="32"/>
  <c r="C16" i="2"/>
  <c r="C2" i="17"/>
  <c r="C4" i="33"/>
  <c r="C3" i="10"/>
  <c r="C3" i="29"/>
  <c r="C5" i="33"/>
  <c r="C17" i="2"/>
  <c r="C4" i="30"/>
  <c r="C3" i="3"/>
  <c r="C3" i="26"/>
  <c r="C3" i="11"/>
  <c r="C13" i="29"/>
  <c r="C6" i="24"/>
  <c r="C10" i="32"/>
  <c r="C11" i="12"/>
  <c r="C14" i="33"/>
  <c r="C8" i="30"/>
  <c r="C4" i="19"/>
  <c r="C7" i="2"/>
  <c r="C3" i="34"/>
  <c r="C3" i="2"/>
  <c r="C7" i="33"/>
  <c r="C11" i="33"/>
  <c r="C2" i="28"/>
  <c r="C6" i="4"/>
  <c r="C6" i="2"/>
  <c r="C3" i="5"/>
  <c r="C14" i="12"/>
  <c r="C7" i="32"/>
  <c r="C2" i="32"/>
  <c r="C5" i="12"/>
  <c r="C19" i="2"/>
  <c r="C15" i="32"/>
  <c r="C12" i="32"/>
  <c r="C3" i="19"/>
  <c r="C20" i="2"/>
  <c r="C7" i="29"/>
  <c r="C4" i="6"/>
  <c r="C34" i="2"/>
  <c r="C5" i="10"/>
  <c r="C4" i="7"/>
  <c r="C6" i="12"/>
  <c r="C38" i="2"/>
  <c r="C9" i="2"/>
  <c r="C2" i="7"/>
  <c r="C3" i="4"/>
  <c r="C2" i="27"/>
  <c r="C4" i="2"/>
  <c r="C35" i="2"/>
  <c r="C3" i="36"/>
  <c r="C3" i="32"/>
  <c r="C11" i="19"/>
  <c r="C41" i="2"/>
  <c r="C16" i="12"/>
  <c r="C13" i="2"/>
  <c r="C9" i="19"/>
  <c r="C6" i="7"/>
  <c r="C6" i="33"/>
  <c r="C9" i="29"/>
  <c r="C2" i="9"/>
  <c r="C5" i="7"/>
  <c r="C3" i="25"/>
  <c r="C36" i="2"/>
  <c r="C10" i="12"/>
  <c r="C9" i="30"/>
  <c r="C17" i="12"/>
  <c r="C37" i="2"/>
  <c r="C7" i="19"/>
  <c r="C2" i="22"/>
  <c r="C2" i="19"/>
  <c r="C8" i="29"/>
  <c r="C2" i="13"/>
  <c r="C13" i="30"/>
  <c r="C8" i="32"/>
  <c r="C15" i="12"/>
  <c r="C11" i="2"/>
  <c r="C2" i="6"/>
  <c r="C5" i="29"/>
  <c r="C45" i="2"/>
  <c r="C10" i="29"/>
  <c r="C4" i="9"/>
  <c r="C31" i="2"/>
  <c r="C3" i="33"/>
  <c r="C12" i="12"/>
  <c r="C3" i="9"/>
  <c r="C3" i="35"/>
  <c r="C13" i="12"/>
  <c r="C3" i="7"/>
  <c r="C14" i="32"/>
  <c r="C6" i="32"/>
  <c r="C30" i="2"/>
  <c r="C46" i="2"/>
  <c r="C2" i="3"/>
  <c r="C5" i="19"/>
  <c r="C33" i="2"/>
  <c r="D2" i="31"/>
  <c r="C2" i="25"/>
  <c r="C6" i="30"/>
  <c r="C12" i="2"/>
  <c r="C4" i="10"/>
  <c r="C9" i="33"/>
  <c r="C13" i="33"/>
  <c r="C10" i="19"/>
  <c r="C17" i="32"/>
  <c r="C2" i="4"/>
  <c r="C2" i="11"/>
  <c r="C15" i="33"/>
  <c r="C4" i="25"/>
  <c r="C4" i="12"/>
  <c r="C2" i="18"/>
  <c r="C2" i="36"/>
  <c r="C5" i="9"/>
  <c r="C4" i="32"/>
  <c r="C7" i="12"/>
  <c r="C32" i="2"/>
  <c r="C5" i="25"/>
  <c r="C5" i="4"/>
  <c r="C6" i="29"/>
  <c r="C7" i="30"/>
  <c r="C18" i="2"/>
  <c r="C3" i="21"/>
  <c r="C14" i="2"/>
  <c r="C16" i="33"/>
  <c r="C8" i="2"/>
  <c r="C8" i="33"/>
  <c r="C3" i="12"/>
  <c r="C17" i="33"/>
  <c r="C10" i="33"/>
  <c r="C11" i="32"/>
  <c r="C2" i="33"/>
  <c r="C2" i="14"/>
  <c r="C40" i="2"/>
  <c r="C10" i="2"/>
  <c r="C5" i="30"/>
  <c r="C6" i="25"/>
  <c r="C5" i="2"/>
  <c r="C2" i="12"/>
  <c r="C2" i="35"/>
  <c r="D3" i="7"/>
  <c r="D5" i="32"/>
  <c r="D9" i="29"/>
  <c r="D4" i="6"/>
  <c r="D4" i="30"/>
  <c r="D3" i="34"/>
  <c r="D4" i="26"/>
  <c r="D14" i="12"/>
  <c r="D3" i="5"/>
  <c r="D6" i="25"/>
  <c r="D6" i="19"/>
  <c r="D2" i="17"/>
  <c r="D31" i="2"/>
  <c r="D18" i="32"/>
  <c r="D12" i="2"/>
  <c r="D5" i="4"/>
  <c r="D11" i="33"/>
  <c r="D3" i="11"/>
  <c r="D4" i="2"/>
  <c r="D10" i="33"/>
  <c r="D16" i="33"/>
  <c r="D16" i="32"/>
  <c r="D13" i="33"/>
  <c r="D13" i="32"/>
  <c r="D2" i="15"/>
  <c r="D17" i="32"/>
  <c r="D7" i="19"/>
  <c r="D6" i="4"/>
  <c r="D3" i="29"/>
  <c r="D3" i="26"/>
  <c r="D5" i="9"/>
  <c r="D4" i="7"/>
  <c r="D4" i="19"/>
  <c r="D14" i="32"/>
  <c r="D2" i="20"/>
  <c r="D2" i="11"/>
  <c r="D16" i="12"/>
  <c r="D5" i="12"/>
  <c r="D10" i="2"/>
  <c r="D8" i="30"/>
  <c r="D40" i="2"/>
  <c r="D2" i="5"/>
  <c r="D2" i="9"/>
  <c r="D2" i="19"/>
  <c r="D6" i="32"/>
  <c r="D6" i="29"/>
  <c r="D7" i="32"/>
  <c r="D6" i="12"/>
  <c r="D9" i="33"/>
  <c r="D12" i="33"/>
  <c r="D2" i="24"/>
  <c r="D17" i="12"/>
  <c r="D7" i="29"/>
  <c r="D21" i="2"/>
  <c r="D19" i="33"/>
  <c r="D3" i="30"/>
  <c r="D6" i="7"/>
  <c r="D3" i="32"/>
  <c r="D8" i="29"/>
  <c r="D3" i="24"/>
  <c r="D7" i="12"/>
  <c r="D3" i="35"/>
  <c r="D8" i="2"/>
  <c r="D2" i="14"/>
  <c r="D15" i="12"/>
  <c r="D13" i="30"/>
  <c r="D19" i="32"/>
  <c r="D27" i="2"/>
  <c r="D4" i="32"/>
  <c r="D7" i="2"/>
  <c r="D6" i="33"/>
  <c r="D15" i="33"/>
  <c r="D2" i="12"/>
  <c r="D36" i="2"/>
  <c r="D5" i="10"/>
  <c r="D10" i="30"/>
  <c r="D9" i="2"/>
  <c r="D18" i="2"/>
  <c r="D2" i="22"/>
  <c r="D42" i="2"/>
  <c r="D2" i="25"/>
  <c r="D4" i="9"/>
  <c r="D13" i="12"/>
  <c r="D39" i="2"/>
  <c r="D7" i="24"/>
  <c r="D4" i="25"/>
  <c r="D33" i="2"/>
  <c r="D9" i="30"/>
  <c r="D14" i="2"/>
  <c r="D3" i="21"/>
  <c r="D2" i="10"/>
  <c r="D38" i="2"/>
  <c r="D12" i="32"/>
  <c r="D8" i="32"/>
  <c r="D5" i="29"/>
  <c r="D41" i="2"/>
  <c r="D6" i="9"/>
  <c r="D11" i="2"/>
  <c r="D17" i="2"/>
  <c r="D11" i="12"/>
  <c r="D13" i="29"/>
  <c r="D12" i="12"/>
  <c r="D8" i="19"/>
  <c r="D17" i="33"/>
  <c r="D6" i="2"/>
  <c r="D2" i="27"/>
  <c r="D2" i="7"/>
  <c r="D43" i="2"/>
  <c r="D2" i="28"/>
  <c r="D5" i="25"/>
  <c r="D11" i="32"/>
  <c r="D4" i="10"/>
  <c r="D11" i="19"/>
  <c r="D3" i="25"/>
  <c r="D8" i="33"/>
  <c r="D2" i="18"/>
  <c r="D10" i="12"/>
  <c r="D4" i="12"/>
  <c r="D3" i="4"/>
  <c r="D2" i="33"/>
  <c r="D4" i="4"/>
  <c r="D2" i="4"/>
  <c r="D4" i="24"/>
  <c r="D2" i="13"/>
  <c r="D10" i="32"/>
  <c r="D7" i="33"/>
  <c r="D5" i="2"/>
  <c r="D5" i="24"/>
  <c r="D5" i="30"/>
  <c r="D13" i="2"/>
  <c r="D3" i="9"/>
  <c r="D32" i="2"/>
  <c r="D2" i="6"/>
  <c r="D3" i="2"/>
  <c r="D6" i="30"/>
  <c r="D3" i="19"/>
  <c r="D4" i="21"/>
  <c r="D6" i="24"/>
  <c r="D3" i="12"/>
  <c r="D3" i="3"/>
  <c r="D5" i="33"/>
  <c r="D18" i="12"/>
  <c r="E2" i="31"/>
  <c r="D16" i="2"/>
  <c r="D2" i="16"/>
  <c r="D46" i="2"/>
  <c r="D9" i="12"/>
  <c r="D2" i="34"/>
  <c r="D45" i="2"/>
  <c r="D15" i="32"/>
  <c r="D2" i="32"/>
  <c r="D10" i="29"/>
  <c r="D2" i="36"/>
  <c r="D18" i="33"/>
  <c r="D14" i="33"/>
  <c r="D30" i="2"/>
  <c r="D37" i="2"/>
  <c r="D5" i="19"/>
  <c r="D19" i="2"/>
  <c r="D2" i="26"/>
  <c r="D3" i="33"/>
  <c r="D24" i="2"/>
  <c r="D2" i="35"/>
  <c r="D7" i="30"/>
  <c r="D2" i="21"/>
  <c r="D20" i="2"/>
  <c r="D44" i="2"/>
  <c r="D4" i="33"/>
  <c r="D9" i="19"/>
  <c r="D3" i="10"/>
  <c r="D10" i="19"/>
  <c r="D3" i="6"/>
  <c r="D5" i="7"/>
  <c r="D2" i="3"/>
  <c r="D35" i="2"/>
  <c r="D2" i="2"/>
  <c r="D3" i="36"/>
  <c r="D4" i="29"/>
  <c r="D34" i="2"/>
</calcChain>
</file>

<file path=xl/sharedStrings.xml><?xml version="1.0" encoding="utf-8"?>
<sst xmlns="http://schemas.openxmlformats.org/spreadsheetml/2006/main" count="347" uniqueCount="98">
  <si>
    <t>Function</t>
  </si>
  <si>
    <t>Input</t>
  </si>
  <si>
    <t>Output</t>
  </si>
  <si>
    <t>CAPITALIZE</t>
  </si>
  <si>
    <t>Hello World</t>
  </si>
  <si>
    <t>LEFT_FIND</t>
  </si>
  <si>
    <t>RIGHT_FIND</t>
  </si>
  <si>
    <t>LEFT_SEARCH</t>
  </si>
  <si>
    <t>RIGHT_SEARCH</t>
  </si>
  <si>
    <t>SUBSTR</t>
  </si>
  <si>
    <t>SUBSTR_SEARCH</t>
  </si>
  <si>
    <t>REPEAT</t>
  </si>
  <si>
    <t>Hello</t>
  </si>
  <si>
    <t>FORMATTER</t>
  </si>
  <si>
    <t>Hello {1}</t>
  </si>
  <si>
    <t>{1} - {2}</t>
  </si>
  <si>
    <t>{1}.{2}@{3}</t>
  </si>
  <si>
    <t>ZFILL</t>
  </si>
  <si>
    <t>TEXT_JOIN</t>
  </si>
  <si>
    <t>World</t>
  </si>
  <si>
    <t>One Two Three</t>
  </si>
  <si>
    <t>One-Two-Three</t>
  </si>
  <si>
    <t>SPLIT_TEXT</t>
  </si>
  <si>
    <t>COUNT_WORDS</t>
  </si>
  <si>
    <t>CAMEL_CASE</t>
  </si>
  <si>
    <t>KEBAB_CASE</t>
  </si>
  <si>
    <t>REMOVE_CHARACTERS</t>
  </si>
  <si>
    <t>Formula</t>
  </si>
  <si>
    <t>=</t>
  </si>
  <si>
    <t>hello world</t>
  </si>
  <si>
    <t>x.y.z company &amp; co.</t>
  </si>
  <si>
    <t>COMPANY_CASE</t>
  </si>
  <si>
    <t>one company gmbh</t>
  </si>
  <si>
    <t>two company a. en p.</t>
  </si>
  <si>
    <t>three company s. en n.c.</t>
  </si>
  <si>
    <t>five company bvba</t>
  </si>
  <si>
    <t>Amazon.com Inc.</t>
  </si>
  <si>
    <t>FOUR COMPANY SPOL S.R.O.</t>
  </si>
  <si>
    <t>amazon.com inc.</t>
  </si>
  <si>
    <t>x.y.z plc</t>
  </si>
  <si>
    <t>REVERSE_TEXT</t>
  </si>
  <si>
    <t>REVERSE_WORDS</t>
  </si>
  <si>
    <t>Hello
    World
        One
            Two</t>
  </si>
  <si>
    <t>DEDENT</t>
  </si>
  <si>
    <t>Hello
World
One
Two</t>
  </si>
  <si>
    <t>INDENT</t>
  </si>
  <si>
    <t>Hello World One Two Three</t>
  </si>
  <si>
    <t>Hello-World-One-Two-Three</t>
  </si>
  <si>
    <t>Hello_World_One_Two_Three</t>
  </si>
  <si>
    <t>SHORTEN</t>
  </si>
  <si>
    <t>INSPLIT</t>
  </si>
  <si>
    <t>ELITE_CASE</t>
  </si>
  <si>
    <t>SCRAMBLE_CASE</t>
  </si>
  <si>
    <t>LEFT_SPLIT</t>
  </si>
  <si>
    <t>RIGHT_SPLIT</t>
  </si>
  <si>
    <t>One</t>
  </si>
  <si>
    <t>Two</t>
  </si>
  <si>
    <t>The</t>
  </si>
  <si>
    <t>Three</t>
  </si>
  <si>
    <t>The Hello World</t>
  </si>
  <si>
    <t>SUBSTITUTE_ALL</t>
  </si>
  <si>
    <r>
      <t xml:space="preserve">Country Code: +51; Area Code: </t>
    </r>
    <r>
      <rPr>
        <b/>
        <sz val="11"/>
        <color theme="1"/>
        <rFont val="Calibri"/>
        <family val="2"/>
        <scheme val="minor"/>
      </rPr>
      <t>315</t>
    </r>
    <r>
      <rPr>
        <sz val="11"/>
        <color theme="1"/>
        <rFont val="Calibri"/>
        <family val="2"/>
        <scheme val="minor"/>
      </rPr>
      <t>; Phone Number: 762-5929;</t>
    </r>
  </si>
  <si>
    <r>
      <t xml:space="preserve">Country Code: +313; Area Code: </t>
    </r>
    <r>
      <rPr>
        <b/>
        <sz val="11"/>
        <color theme="1"/>
        <rFont val="Calibri"/>
        <family val="2"/>
        <scheme val="minor"/>
      </rPr>
      <t>423</t>
    </r>
    <r>
      <rPr>
        <sz val="11"/>
        <color theme="1"/>
        <rFont val="Calibri"/>
        <family val="2"/>
        <scheme val="minor"/>
      </rPr>
      <t>; Phone Number: 284-2468;</t>
    </r>
  </si>
  <si>
    <r>
      <t xml:space="preserve">Country Code: +171; Area Code: </t>
    </r>
    <r>
      <rPr>
        <b/>
        <sz val="11"/>
        <color theme="1"/>
        <rFont val="Calibri"/>
        <family val="2"/>
        <scheme val="minor"/>
      </rPr>
      <t>629</t>
    </r>
    <r>
      <rPr>
        <sz val="11"/>
        <color theme="1"/>
        <rFont val="Calibri"/>
        <family val="2"/>
        <scheme val="minor"/>
      </rPr>
      <t>; Phone Number: 731-5456;</t>
    </r>
  </si>
  <si>
    <r>
      <t xml:space="preserve">Country Code: +44; Area Code: </t>
    </r>
    <r>
      <rPr>
        <b/>
        <sz val="11"/>
        <color theme="1"/>
        <rFont val="Calibri"/>
        <family val="2"/>
        <scheme val="minor"/>
      </rPr>
      <t>136</t>
    </r>
    <r>
      <rPr>
        <sz val="11"/>
        <color theme="1"/>
        <rFont val="Calibri"/>
        <family val="2"/>
        <scheme val="minor"/>
      </rPr>
      <t>; Phone Number: 700-4282;</t>
    </r>
  </si>
  <si>
    <r>
      <t xml:space="preserve">Country Code: +419; Area Code: </t>
    </r>
    <r>
      <rPr>
        <b/>
        <sz val="11"/>
        <color theme="1"/>
        <rFont val="Calibri"/>
        <family val="2"/>
        <scheme val="minor"/>
      </rPr>
      <t>380</t>
    </r>
    <r>
      <rPr>
        <sz val="11"/>
        <color theme="1"/>
        <rFont val="Calibri"/>
        <family val="2"/>
        <scheme val="minor"/>
      </rPr>
      <t>; Phone Number: 182-3060;</t>
    </r>
  </si>
  <si>
    <r>
      <t xml:space="preserve">Country Code: +377; Area Code: </t>
    </r>
    <r>
      <rPr>
        <b/>
        <sz val="11"/>
        <color theme="1"/>
        <rFont val="Calibri"/>
        <family val="2"/>
        <scheme val="minor"/>
      </rPr>
      <t>743</t>
    </r>
    <r>
      <rPr>
        <sz val="11"/>
        <color theme="1"/>
        <rFont val="Calibri"/>
        <family val="2"/>
        <scheme val="minor"/>
      </rPr>
      <t>; Phone Number: 125-7113;</t>
    </r>
  </si>
  <si>
    <r>
      <t xml:space="preserve">Country Code: +495; Area Code: </t>
    </r>
    <r>
      <rPr>
        <b/>
        <sz val="11"/>
        <color theme="1"/>
        <rFont val="Calibri"/>
        <family val="2"/>
        <scheme val="minor"/>
      </rPr>
      <t>388</t>
    </r>
    <r>
      <rPr>
        <sz val="11"/>
        <color theme="1"/>
        <rFont val="Calibri"/>
        <family val="2"/>
        <scheme val="minor"/>
      </rPr>
      <t>; Phone Number: 130-5925;</t>
    </r>
  </si>
  <si>
    <r>
      <t xml:space="preserve">Country Code: +67; Area Code: </t>
    </r>
    <r>
      <rPr>
        <b/>
        <sz val="11"/>
        <color theme="1"/>
        <rFont val="Calibri"/>
        <family val="2"/>
        <scheme val="minor"/>
      </rPr>
      <t>504</t>
    </r>
    <r>
      <rPr>
        <sz val="11"/>
        <color theme="1"/>
        <rFont val="Calibri"/>
        <family val="2"/>
        <scheme val="minor"/>
      </rPr>
      <t>; Phone Number: 919-8278;</t>
    </r>
  </si>
  <si>
    <r>
      <t xml:space="preserve">Country Code: +952; Area Code: </t>
    </r>
    <r>
      <rPr>
        <b/>
        <sz val="11"/>
        <color theme="1"/>
        <rFont val="Calibri"/>
        <family val="2"/>
        <scheme val="minor"/>
      </rPr>
      <t>161</t>
    </r>
    <r>
      <rPr>
        <sz val="11"/>
        <color theme="1"/>
        <rFont val="Calibri"/>
        <family val="2"/>
        <scheme val="minor"/>
      </rPr>
      <t>; Phone Number: 345-5139;</t>
    </r>
  </si>
  <si>
    <r>
      <t xml:space="preserve">Country Code: +275; Area Code: </t>
    </r>
    <r>
      <rPr>
        <b/>
        <sz val="11"/>
        <color theme="1"/>
        <rFont val="Calibri"/>
        <family val="2"/>
        <scheme val="minor"/>
      </rPr>
      <t>371</t>
    </r>
    <r>
      <rPr>
        <sz val="11"/>
        <color theme="1"/>
        <rFont val="Calibri"/>
        <family val="2"/>
        <scheme val="minor"/>
      </rPr>
      <t>; Phone Number: 655-9723;</t>
    </r>
  </si>
  <si>
    <t>SUBSTR_FIND</t>
  </si>
  <si>
    <t>INSTRING</t>
  </si>
  <si>
    <t>112 - 312 - 221 - 132</t>
  </si>
  <si>
    <t>123 - 222 - 122 - 311</t>
  </si>
  <si>
    <t>222 - 322 - 233 - 232</t>
  </si>
  <si>
    <t>312 - 131 - 123 - 333</t>
  </si>
  <si>
    <t>212 - 232 - 213 - 323</t>
  </si>
  <si>
    <t>111 - 312 - 212 - 321</t>
  </si>
  <si>
    <t>312 - 122 - 111 - 133</t>
  </si>
  <si>
    <t>331 - 223 - 212 - 321</t>
  </si>
  <si>
    <t>321 - 223 - 322 - 313</t>
  </si>
  <si>
    <t>132 - 131 - 332 - 221</t>
  </si>
  <si>
    <t>123 - 121 - 321 - 122</t>
  </si>
  <si>
    <t>333 - 222 - 111 - 211</t>
  </si>
  <si>
    <t>122 - 131 - 231 - 321</t>
  </si>
  <si>
    <t>123 - 332 - 121 - 122</t>
  </si>
  <si>
    <t>212 - 121 - 221 - 223</t>
  </si>
  <si>
    <t>311 - 212 - 321 - 331</t>
  </si>
  <si>
    <t>122 - 121 - 321 - 311</t>
  </si>
  <si>
    <t>122 - 312 - 222 - 232</t>
  </si>
  <si>
    <t xml:space="preserve">   Hello World   </t>
  </si>
  <si>
    <t>---Hello World---</t>
  </si>
  <si>
    <t>TRIM_CHAR</t>
  </si>
  <si>
    <t>TRIM_LEFT</t>
  </si>
  <si>
    <t>TRIM_RIGHT</t>
  </si>
  <si>
    <t>COUNT_UPPERCASE_CHARACTERS</t>
  </si>
  <si>
    <t>COUNT_LOWERCASE_CHARACTERS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</si>
</sst>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9" fontId="0" fillId="0" borderId="0" xfId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2C49C-E2BB-4CF4-92A8-894EBD9E6D94}">
  <sheetPr codeName="Sheet2"/>
  <dimension ref="A1:D46"/>
  <sheetViews>
    <sheetView topLeftCell="A37" workbookViewId="0">
      <selection activeCell="B47" sqref="B47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3</v>
      </c>
      <c r="B2" t="s">
        <v>4</v>
      </c>
      <c r="C2" t="str">
        <f>CAPITALIZE(B2)</f>
        <v>Hello world</v>
      </c>
      <c r="D2" t="str">
        <f ca="1">_xlfn.FORMULATEXT(C2)</f>
        <v>=CAPITALIZE(B2)</v>
      </c>
    </row>
    <row r="3" spans="1:4" x14ac:dyDescent="0.35">
      <c r="A3" t="s">
        <v>5</v>
      </c>
      <c r="B3" t="s">
        <v>4</v>
      </c>
      <c r="C3" t="str">
        <f>LEFT_FIND(B3,"r")</f>
        <v>Hello Wo</v>
      </c>
      <c r="D3" t="str">
        <f t="shared" ref="D3:D46" ca="1" si="0">_xlfn.FORMULATEXT(C3)</f>
        <v>=LEFT_FIND(B3,"r")</v>
      </c>
    </row>
    <row r="4" spans="1:4" x14ac:dyDescent="0.35">
      <c r="A4" t="s">
        <v>6</v>
      </c>
      <c r="B4" t="s">
        <v>4</v>
      </c>
      <c r="C4" t="str">
        <f>RIGHT_FIND(B4,"o")</f>
        <v>rld</v>
      </c>
      <c r="D4" t="str">
        <f t="shared" ca="1" si="0"/>
        <v>=RIGHT_FIND(B4,"o")</v>
      </c>
    </row>
    <row r="5" spans="1:4" x14ac:dyDescent="0.35">
      <c r="A5" t="s">
        <v>7</v>
      </c>
      <c r="B5" t="s">
        <v>4</v>
      </c>
      <c r="C5" t="str">
        <f>LEFT_SEARCH(B5,"R")</f>
        <v>Hello Wo</v>
      </c>
      <c r="D5" t="str">
        <f t="shared" ca="1" si="0"/>
        <v>=LEFT_SEARCH(B5,"R")</v>
      </c>
    </row>
    <row r="6" spans="1:4" x14ac:dyDescent="0.35">
      <c r="A6" t="s">
        <v>8</v>
      </c>
      <c r="B6" t="s">
        <v>4</v>
      </c>
      <c r="C6" t="str">
        <f>RIGHT_SEARCH(B6,"O")</f>
        <v>rld</v>
      </c>
      <c r="D6" t="str">
        <f t="shared" ca="1" si="0"/>
        <v>=RIGHT_SEARCH(B6,"O")</v>
      </c>
    </row>
    <row r="7" spans="1:4" x14ac:dyDescent="0.35">
      <c r="A7" t="s">
        <v>9</v>
      </c>
      <c r="B7" t="s">
        <v>4</v>
      </c>
      <c r="C7" t="str">
        <f>SUBSTR(B7,2,6)</f>
        <v>ello</v>
      </c>
      <c r="D7" t="str">
        <f t="shared" ca="1" si="0"/>
        <v>=SUBSTR(B7,2,6)</v>
      </c>
    </row>
    <row r="8" spans="1:4" x14ac:dyDescent="0.35">
      <c r="A8" t="s">
        <v>10</v>
      </c>
      <c r="B8" t="s">
        <v>4</v>
      </c>
      <c r="C8" t="str">
        <f>SUBSTR_SEARCH(B8, "e", "o")</f>
        <v>ello Wo</v>
      </c>
      <c r="D8" t="str">
        <f t="shared" ca="1" si="0"/>
        <v>=SUBSTR_SEARCH(B8, "e", "o")</v>
      </c>
    </row>
    <row r="9" spans="1:4" x14ac:dyDescent="0.35">
      <c r="B9" t="s">
        <v>4</v>
      </c>
      <c r="C9" t="str">
        <f>SUBSTR_SEARCH(B9, "e", "o", TRUE)</f>
        <v>llo W</v>
      </c>
      <c r="D9" t="str">
        <f t="shared" ca="1" si="0"/>
        <v>=SUBSTR_SEARCH(B9, "e", "o", TRUE)</v>
      </c>
    </row>
    <row r="10" spans="1:4" x14ac:dyDescent="0.35">
      <c r="A10" t="s">
        <v>11</v>
      </c>
      <c r="B10" t="s">
        <v>12</v>
      </c>
      <c r="C10" t="str">
        <f>REPEAT(B10,2)</f>
        <v>HelloHello</v>
      </c>
      <c r="D10" t="str">
        <f t="shared" ca="1" si="0"/>
        <v>=REPEAT(B10,2)</v>
      </c>
    </row>
    <row r="11" spans="1:4" x14ac:dyDescent="0.35">
      <c r="A11" t="s">
        <v>13</v>
      </c>
      <c r="B11" t="s">
        <v>14</v>
      </c>
      <c r="C11" t="str">
        <f>FORMATTER(B11, "World")</f>
        <v>Hello World</v>
      </c>
      <c r="D11" t="str">
        <f t="shared" ca="1" si="0"/>
        <v>=FORMATTER(B11, "World")</v>
      </c>
    </row>
    <row r="12" spans="1:4" x14ac:dyDescent="0.35">
      <c r="B12" t="s">
        <v>15</v>
      </c>
      <c r="C12" t="str">
        <f>FORMATTER(B12, "Hello", "World")</f>
        <v>Hello - World</v>
      </c>
      <c r="D12" t="str">
        <f t="shared" ca="1" si="0"/>
        <v>=FORMATTER(B12, "Hello", "World")</v>
      </c>
    </row>
    <row r="13" spans="1:4" x14ac:dyDescent="0.35">
      <c r="B13" t="s">
        <v>16</v>
      </c>
      <c r="C13" t="str">
        <f>FORMATTER(B13,"first","last","email.com")</f>
        <v>first.last@email.com</v>
      </c>
      <c r="D13" t="str">
        <f t="shared" ca="1" si="0"/>
        <v>=FORMATTER(B13,"first","last","email.com")</v>
      </c>
    </row>
    <row r="14" spans="1:4" x14ac:dyDescent="0.35">
      <c r="B14" t="s">
        <v>12</v>
      </c>
      <c r="C14" t="str">
        <f>FORMATTER("{1} - {2}",B14:B15)</f>
        <v>Hello - World</v>
      </c>
      <c r="D14" t="str">
        <f t="shared" ca="1" si="0"/>
        <v>=FORMATTER("{1} - {2}",B14:B15)</v>
      </c>
    </row>
    <row r="15" spans="1:4" x14ac:dyDescent="0.35">
      <c r="B15" t="s">
        <v>19</v>
      </c>
    </row>
    <row r="16" spans="1:4" x14ac:dyDescent="0.35">
      <c r="A16" t="s">
        <v>17</v>
      </c>
      <c r="B16">
        <v>123</v>
      </c>
      <c r="C16" t="str">
        <f>ZFILL(B16,5)</f>
        <v>00123</v>
      </c>
      <c r="D16" t="str">
        <f t="shared" ca="1" si="0"/>
        <v>=ZFILL(B16,5)</v>
      </c>
    </row>
    <row r="17" spans="1:4" x14ac:dyDescent="0.35">
      <c r="B17">
        <v>5678</v>
      </c>
      <c r="C17" t="str">
        <f>ZFILL(B17,5)</f>
        <v>05678</v>
      </c>
      <c r="D17" t="str">
        <f t="shared" ca="1" si="0"/>
        <v>=ZFILL(B17,5)</v>
      </c>
    </row>
    <row r="18" spans="1:4" x14ac:dyDescent="0.35">
      <c r="B18">
        <v>12345678</v>
      </c>
      <c r="C18" t="str">
        <f>ZFILL(B18,5)</f>
        <v>12345678</v>
      </c>
      <c r="D18" t="str">
        <f t="shared" ca="1" si="0"/>
        <v>=ZFILL(B18,5)</v>
      </c>
    </row>
    <row r="19" spans="1:4" x14ac:dyDescent="0.35">
      <c r="B19">
        <v>123</v>
      </c>
      <c r="C19" t="str">
        <f>ZFILL(B19,5, "X")</f>
        <v>XX123</v>
      </c>
      <c r="D19" t="str">
        <f t="shared" ca="1" si="0"/>
        <v>=ZFILL(B19,5, "X")</v>
      </c>
    </row>
    <row r="20" spans="1:4" x14ac:dyDescent="0.35">
      <c r="B20">
        <v>123</v>
      </c>
      <c r="C20" t="str">
        <f>ZFILL(B20,5, "X",TRUE)</f>
        <v>123XX</v>
      </c>
      <c r="D20" t="str">
        <f t="shared" ca="1" si="0"/>
        <v>=ZFILL(B20,5, "X",TRUE)</v>
      </c>
    </row>
    <row r="21" spans="1:4" x14ac:dyDescent="0.35">
      <c r="A21" t="s">
        <v>18</v>
      </c>
      <c r="B21">
        <v>1</v>
      </c>
      <c r="C21" t="e">
        <f ca="1">TEXT_JOIN(B21:B23)</f>
        <v>#NAME?</v>
      </c>
      <c r="D21" t="str">
        <f t="shared" ca="1" si="0"/>
        <v>=TEXT_JOIN(B21:B23)</v>
      </c>
    </row>
    <row r="22" spans="1:4" x14ac:dyDescent="0.35">
      <c r="B22">
        <v>2</v>
      </c>
    </row>
    <row r="23" spans="1:4" x14ac:dyDescent="0.35">
      <c r="B23">
        <v>3</v>
      </c>
    </row>
    <row r="24" spans="1:4" x14ac:dyDescent="0.35">
      <c r="B24">
        <v>1</v>
      </c>
      <c r="C24" t="e">
        <f ca="1">TEXT_JOIN(B24:B26,"--")</f>
        <v>#NAME?</v>
      </c>
      <c r="D24" t="str">
        <f t="shared" ca="1" si="0"/>
        <v>=TEXT_JOIN(B24:B26,"--")</v>
      </c>
    </row>
    <row r="25" spans="1:4" x14ac:dyDescent="0.35">
      <c r="B25">
        <v>2</v>
      </c>
    </row>
    <row r="26" spans="1:4" x14ac:dyDescent="0.35">
      <c r="B26">
        <v>3</v>
      </c>
    </row>
    <row r="27" spans="1:4" x14ac:dyDescent="0.35">
      <c r="B27">
        <v>1</v>
      </c>
      <c r="C27" t="e">
        <f ca="1">TEXT_JOIN(B27:B29,"-",TRUE)</f>
        <v>#NAME?</v>
      </c>
      <c r="D27" t="str">
        <f t="shared" ca="1" si="0"/>
        <v>=TEXT_JOIN(B27:B29,"-",TRUE)</v>
      </c>
    </row>
    <row r="29" spans="1:4" x14ac:dyDescent="0.35">
      <c r="B29">
        <v>3</v>
      </c>
    </row>
    <row r="30" spans="1:4" x14ac:dyDescent="0.35">
      <c r="A30" t="s">
        <v>22</v>
      </c>
      <c r="B30" t="s">
        <v>4</v>
      </c>
      <c r="C30" t="str">
        <f>SPLIT_TEXT(B30,2)</f>
        <v>World</v>
      </c>
      <c r="D30" t="str">
        <f t="shared" ca="1" si="0"/>
        <v>=SPLIT_TEXT(B30,2)</v>
      </c>
    </row>
    <row r="31" spans="1:4" x14ac:dyDescent="0.35">
      <c r="B31" t="s">
        <v>20</v>
      </c>
      <c r="C31" t="str">
        <f>SPLIT_TEXT(B31,1)</f>
        <v>One</v>
      </c>
      <c r="D31" t="str">
        <f t="shared" ca="1" si="0"/>
        <v>=SPLIT_TEXT(B31,1)</v>
      </c>
    </row>
    <row r="32" spans="1:4" x14ac:dyDescent="0.35">
      <c r="B32" t="s">
        <v>20</v>
      </c>
      <c r="C32" t="str">
        <f>SPLIT_TEXT(B32,2)</f>
        <v>Two</v>
      </c>
      <c r="D32" t="str">
        <f t="shared" ca="1" si="0"/>
        <v>=SPLIT_TEXT(B32,2)</v>
      </c>
    </row>
    <row r="33" spans="1:4" x14ac:dyDescent="0.35">
      <c r="B33" t="s">
        <v>20</v>
      </c>
      <c r="C33" t="str">
        <f>SPLIT_TEXT(B33,3)</f>
        <v>Three</v>
      </c>
      <c r="D33" t="str">
        <f t="shared" ca="1" si="0"/>
        <v>=SPLIT_TEXT(B33,3)</v>
      </c>
    </row>
    <row r="34" spans="1:4" x14ac:dyDescent="0.35">
      <c r="B34" t="s">
        <v>21</v>
      </c>
      <c r="C34" t="str">
        <f>SPLIT_TEXT(B34,2, "-")</f>
        <v>Two</v>
      </c>
      <c r="D34" t="str">
        <f t="shared" ca="1" si="0"/>
        <v>=SPLIT_TEXT(B34,2, "-")</v>
      </c>
    </row>
    <row r="35" spans="1:4" x14ac:dyDescent="0.35">
      <c r="A35" t="s">
        <v>23</v>
      </c>
      <c r="B35" t="s">
        <v>4</v>
      </c>
      <c r="C35">
        <f>COUNT_WORDS(B35)</f>
        <v>2</v>
      </c>
      <c r="D35" t="str">
        <f t="shared" ca="1" si="0"/>
        <v>=COUNT_WORDS(B35)</v>
      </c>
    </row>
    <row r="36" spans="1:4" x14ac:dyDescent="0.35">
      <c r="B36" t="s">
        <v>20</v>
      </c>
      <c r="C36">
        <f t="shared" ref="C36" si="1">COUNT_WORDS(B36)</f>
        <v>3</v>
      </c>
      <c r="D36" t="str">
        <f t="shared" ca="1" si="0"/>
        <v>=COUNT_WORDS(B36)</v>
      </c>
    </row>
    <row r="37" spans="1:4" x14ac:dyDescent="0.35">
      <c r="B37" t="s">
        <v>21</v>
      </c>
      <c r="C37">
        <f>COUNT_WORDS(B37, "-")</f>
        <v>3</v>
      </c>
      <c r="D37" t="str">
        <f t="shared" ca="1" si="0"/>
        <v>=COUNT_WORDS(B37, "-")</v>
      </c>
    </row>
    <row r="38" spans="1:4" x14ac:dyDescent="0.35">
      <c r="A38" t="s">
        <v>24</v>
      </c>
      <c r="B38" t="s">
        <v>4</v>
      </c>
      <c r="C38" t="str">
        <f>CAMEL_CASE(B38)</f>
        <v>helloWorld</v>
      </c>
      <c r="D38" t="str">
        <f t="shared" ca="1" si="0"/>
        <v>=CAMEL_CASE(B38)</v>
      </c>
    </row>
    <row r="39" spans="1:4" x14ac:dyDescent="0.35">
      <c r="B39" t="s">
        <v>20</v>
      </c>
      <c r="C39" t="str">
        <f>CAMEL_CASE(B39)</f>
        <v>oneTwoThree</v>
      </c>
      <c r="D39" t="str">
        <f t="shared" ca="1" si="0"/>
        <v>=CAMEL_CASE(B39)</v>
      </c>
    </row>
    <row r="40" spans="1:4" x14ac:dyDescent="0.35">
      <c r="A40" t="s">
        <v>25</v>
      </c>
      <c r="B40" t="s">
        <v>4</v>
      </c>
      <c r="C40" t="str">
        <f>KEBAB_CASE(B40)</f>
        <v>hello-world</v>
      </c>
      <c r="D40" t="str">
        <f t="shared" ca="1" si="0"/>
        <v>=KEBAB_CASE(B40)</v>
      </c>
    </row>
    <row r="41" spans="1:4" x14ac:dyDescent="0.35">
      <c r="B41" t="s">
        <v>20</v>
      </c>
      <c r="C41" t="str">
        <f>KEBAB_CASE(B41)</f>
        <v>one-two-three</v>
      </c>
      <c r="D41" t="str">
        <f t="shared" ca="1" si="0"/>
        <v>=KEBAB_CASE(B41)</v>
      </c>
    </row>
    <row r="42" spans="1:4" x14ac:dyDescent="0.35">
      <c r="A42" t="s">
        <v>26</v>
      </c>
      <c r="B42" t="s">
        <v>4</v>
      </c>
      <c r="C42" t="str">
        <f>REMOVE_CHARACTERS(B42,"l")</f>
        <v>Heo Word</v>
      </c>
      <c r="D42" t="str">
        <f t="shared" ca="1" si="0"/>
        <v>=REMOVE_CHARACTERS(B42,"l")</v>
      </c>
    </row>
    <row r="43" spans="1:4" x14ac:dyDescent="0.35">
      <c r="B43" t="s">
        <v>4</v>
      </c>
      <c r="C43" t="str">
        <f>REMOVE_CHARACTERS(B43,"lo")</f>
        <v>He Wrd</v>
      </c>
      <c r="D43" t="str">
        <f t="shared" ca="1" si="0"/>
        <v>=REMOVE_CHARACTERS(B43,"lo")</v>
      </c>
    </row>
    <row r="44" spans="1:4" x14ac:dyDescent="0.35">
      <c r="B44" t="s">
        <v>4</v>
      </c>
      <c r="C44" t="str">
        <f>REMOVE_CHARACTERS(B44,"lod")</f>
        <v>He Wr</v>
      </c>
      <c r="D44" t="str">
        <f t="shared" ca="1" si="0"/>
        <v>=REMOVE_CHARACTERS(B44,"lod")</v>
      </c>
    </row>
    <row r="45" spans="1:4" x14ac:dyDescent="0.35">
      <c r="B45" t="s">
        <v>20</v>
      </c>
      <c r="C45" t="str">
        <f>REMOVE_CHARACTERS(B45,"O","T")</f>
        <v>ne wo hree</v>
      </c>
      <c r="D45" t="str">
        <f t="shared" ca="1" si="0"/>
        <v>=REMOVE_CHARACTERS(B45,"O","T")</v>
      </c>
    </row>
    <row r="46" spans="1:4" x14ac:dyDescent="0.35">
      <c r="B46" t="s">
        <v>20</v>
      </c>
      <c r="C46" t="str">
        <f>REMOVE_CHARACTERS(B46,"OT")</f>
        <v>ne wo hree</v>
      </c>
      <c r="D46" t="str">
        <f t="shared" ca="1" si="0"/>
        <v>=REMOVE_CHARACTERS(B46,"OT")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20BF4-42B7-444B-93C1-2839254F425A}">
  <sheetPr codeName="Sheet1"/>
  <dimension ref="A1:D2"/>
  <sheetViews>
    <sheetView workbookViewId="0"/>
  </sheetViews>
  <sheetFormatPr defaultRowHeight="14.5" x14ac:dyDescent="0.35"/>
  <cols>
    <col min="1" max="1" width="10.08984375" bestFit="1" customWidth="1"/>
    <col min="2" max="2" width="11" bestFit="1" customWidth="1"/>
    <col min="3" max="3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3</v>
      </c>
      <c r="B2" t="s">
        <v>4</v>
      </c>
      <c r="C2" t="str">
        <f>CAPITALIZE(B2)</f>
        <v>Hello world</v>
      </c>
      <c r="D2" t="str">
        <f ca="1">_xlfn.FORMULATEXT(C2)</f>
        <v>=CAPITALIZE(B2)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6E25-D680-4AF0-BFC5-C76DC9CECF8D}">
  <sheetPr codeName="Sheet3"/>
  <dimension ref="A1:D2"/>
  <sheetViews>
    <sheetView workbookViewId="0"/>
  </sheetViews>
  <sheetFormatPr defaultRowHeight="14.5" x14ac:dyDescent="0.35"/>
  <cols>
    <col min="1" max="1" width="9.54296875" bestFit="1" customWidth="1"/>
    <col min="2" max="2" width="11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</v>
      </c>
      <c r="B2" t="s">
        <v>4</v>
      </c>
      <c r="C2" t="str">
        <f>LEFT_FIND(B2,"r")</f>
        <v>Hello Wo</v>
      </c>
      <c r="D2" t="str">
        <f t="shared" ref="D2" ca="1" si="0">_xlfn.FORMULATEXT(C2)</f>
        <v>=LEFT_FIND(B2,"r")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2C21C-059C-416D-98BD-CB87112CBA6B}">
  <sheetPr codeName="Sheet4"/>
  <dimension ref="A1:D2"/>
  <sheetViews>
    <sheetView workbookViewId="0"/>
  </sheetViews>
  <sheetFormatPr defaultRowHeight="14.5" x14ac:dyDescent="0.35"/>
  <cols>
    <col min="1" max="1" width="11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6</v>
      </c>
      <c r="B2" t="s">
        <v>4</v>
      </c>
      <c r="C2" t="str">
        <f>RIGHT_FIND(B2,"o")</f>
        <v>rld</v>
      </c>
      <c r="D2" t="str">
        <f t="shared" ref="D2" ca="1" si="0">_xlfn.FORMULATEXT(C2)</f>
        <v>=RIGHT_FIND(B2,"o")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C74B4-1546-49C5-96CB-289BDA2E4E28}">
  <sheetPr codeName="Sheet5"/>
  <dimension ref="A1:D2"/>
  <sheetViews>
    <sheetView workbookViewId="0"/>
  </sheetViews>
  <sheetFormatPr defaultRowHeight="14.5" x14ac:dyDescent="0.35"/>
  <cols>
    <col min="1" max="1" width="12.0898437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7</v>
      </c>
      <c r="B2" t="s">
        <v>4</v>
      </c>
      <c r="C2" t="str">
        <f>LEFT_SEARCH(B2,"R")</f>
        <v>Hello Wo</v>
      </c>
      <c r="D2" t="str">
        <f t="shared" ref="D2" ca="1" si="0">_xlfn.FORMULATEXT(C2)</f>
        <v>=LEFT_SEARCH(B2,"R")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2600-EC30-4758-95DA-29497AF726A6}">
  <sheetPr codeName="Sheet6"/>
  <dimension ref="A1:D2"/>
  <sheetViews>
    <sheetView workbookViewId="0"/>
  </sheetViews>
  <sheetFormatPr defaultRowHeight="14.5" x14ac:dyDescent="0.35"/>
  <cols>
    <col min="1" max="1" width="13.63281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8</v>
      </c>
      <c r="B2" t="s">
        <v>4</v>
      </c>
      <c r="C2" t="str">
        <f>RIGHT_SEARCH(B2,"O")</f>
        <v>rld</v>
      </c>
      <c r="D2" t="str">
        <f t="shared" ref="D2" ca="1" si="0">_xlfn.FORMULATEXT(C2)</f>
        <v>=RIGHT_SEARCH(B2,"O")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2828-B161-4AFA-AA6F-4AAA837799E7}">
  <sheetPr codeName="Sheet7"/>
  <dimension ref="A1:D2"/>
  <sheetViews>
    <sheetView workbookViewId="0"/>
  </sheetViews>
  <sheetFormatPr defaultRowHeight="14.5" x14ac:dyDescent="0.35"/>
  <cols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</v>
      </c>
      <c r="B2" t="s">
        <v>4</v>
      </c>
      <c r="C2" t="str">
        <f>SUBSTR(B2,2,6)</f>
        <v>ello</v>
      </c>
      <c r="D2" t="str">
        <f t="shared" ref="D2" ca="1" si="0">_xlfn.FORMULATEXT(C2)</f>
        <v>=SUBSTR(B2,2,6)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90AE-C4A8-4C9A-BD5D-523B2C53581D}">
  <sheetPr codeName="Sheet30"/>
  <dimension ref="A1:J21"/>
  <sheetViews>
    <sheetView workbookViewId="0">
      <selection activeCell="C12" sqref="C12"/>
    </sheetView>
  </sheetViews>
  <sheetFormatPr defaultRowHeight="14.5" x14ac:dyDescent="0.35"/>
  <cols>
    <col min="1" max="1" width="14.7265625" bestFit="1" customWidth="1"/>
    <col min="2" max="2" width="54.54296875" bestFit="1" customWidth="1"/>
    <col min="3" max="3" width="11.17968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10" x14ac:dyDescent="0.35">
      <c r="A2" t="s">
        <v>71</v>
      </c>
      <c r="B2" t="s">
        <v>4</v>
      </c>
      <c r="C2" t="str">
        <f>SUBSTR_FIND(B2, "e", "o")</f>
        <v>ello Wo</v>
      </c>
      <c r="D2" t="str">
        <f t="shared" ref="D2:D19" ca="1" si="0">_xlfn.FORMULATEXT(C2)</f>
        <v>=SUBSTR_FIND(B2, "e", "o")</v>
      </c>
    </row>
    <row r="3" spans="1:10" x14ac:dyDescent="0.35">
      <c r="B3" t="s">
        <v>4</v>
      </c>
      <c r="C3" t="str">
        <f>SUBSTR_FIND(B3, "e", "o", TRUE)</f>
        <v>llo W</v>
      </c>
      <c r="D3" t="str">
        <f t="shared" ca="1" si="0"/>
        <v>=SUBSTR_FIND(B3, "e", "o", TRUE)</v>
      </c>
    </row>
    <row r="4" spans="1:10" x14ac:dyDescent="0.35">
      <c r="B4" t="s">
        <v>4</v>
      </c>
      <c r="C4" t="str">
        <f>SUBSTR_FIND(B4, "ell", "or")</f>
        <v>ello Wor</v>
      </c>
      <c r="D4" t="str">
        <f t="shared" ca="1" si="0"/>
        <v>=SUBSTR_FIND(B4, "ell", "or")</v>
      </c>
    </row>
    <row r="5" spans="1:10" x14ac:dyDescent="0.35">
      <c r="B5" t="s">
        <v>4</v>
      </c>
      <c r="C5" t="str">
        <f>SUBSTR_FIND(B5, "ell", "or", TRUE)</f>
        <v>o W</v>
      </c>
      <c r="D5" t="str">
        <f t="shared" ca="1" si="0"/>
        <v>=SUBSTR_FIND(B5, "ell", "or", TRUE)</v>
      </c>
    </row>
    <row r="6" spans="1:10" x14ac:dyDescent="0.35">
      <c r="B6" t="s">
        <v>20</v>
      </c>
      <c r="C6" t="str">
        <f>SUBSTR_FIND(B6, "ne ", " Thr")</f>
        <v>ne Two Thr</v>
      </c>
      <c r="D6" t="str">
        <f t="shared" ref="D6" ca="1" si="1">_xlfn.FORMULATEXT(C6)</f>
        <v>=SUBSTR_FIND(B6, "ne ", " Thr")</v>
      </c>
    </row>
    <row r="7" spans="1:10" x14ac:dyDescent="0.35">
      <c r="B7" t="s">
        <v>20</v>
      </c>
      <c r="C7" t="e">
        <f>SUBSTR_FIND(B7, "NE ", " THR")</f>
        <v>#VALUE!</v>
      </c>
      <c r="D7" t="str">
        <f t="shared" ca="1" si="0"/>
        <v>=SUBSTR_FIND(B7, "NE ", " THR")</v>
      </c>
    </row>
    <row r="8" spans="1:10" x14ac:dyDescent="0.35">
      <c r="B8" t="s">
        <v>20</v>
      </c>
      <c r="C8" t="e">
        <f>SUBSTR_FIND(B8, "NE ", " THR", TRUE)</f>
        <v>#VALUE!</v>
      </c>
      <c r="D8" t="str">
        <f t="shared" ca="1" si="0"/>
        <v>=SUBSTR_FIND(B8, "NE ", " THR", TRUE)</v>
      </c>
    </row>
    <row r="10" spans="1:10" x14ac:dyDescent="0.35">
      <c r="B10" t="s">
        <v>61</v>
      </c>
      <c r="C10" t="str">
        <f t="shared" ref="C10:C19" si="2">SUBSTR_FIND(B10,"Area Code: ", "; Phone", TRUE)</f>
        <v>315</v>
      </c>
      <c r="D10" t="str">
        <f t="shared" ca="1" si="0"/>
        <v>=SUBSTR_FIND(B10,"Area Code: ", "; Phone", TRUE)</v>
      </c>
    </row>
    <row r="11" spans="1:10" x14ac:dyDescent="0.35">
      <c r="B11" t="s">
        <v>62</v>
      </c>
      <c r="C11" t="str">
        <f t="shared" si="2"/>
        <v>423</v>
      </c>
      <c r="D11" t="str">
        <f t="shared" ca="1" si="0"/>
        <v>=SUBSTR_FIND(B11,"Area Code: ", "; Phone", TRUE)</v>
      </c>
      <c r="E11" s="7"/>
      <c r="F11" s="7"/>
      <c r="G11" s="7"/>
      <c r="H11" s="7"/>
      <c r="I11" s="7"/>
      <c r="J11" s="7"/>
    </row>
    <row r="12" spans="1:10" x14ac:dyDescent="0.35">
      <c r="B12" t="s">
        <v>63</v>
      </c>
      <c r="C12" t="str">
        <f t="shared" si="2"/>
        <v>629</v>
      </c>
      <c r="D12" t="str">
        <f t="shared" ca="1" si="0"/>
        <v>=SUBSTR_FIND(B12,"Area Code: ", "; Phone", TRUE)</v>
      </c>
      <c r="E12" s="7"/>
      <c r="F12" s="7"/>
      <c r="G12" s="7"/>
      <c r="H12" s="7"/>
      <c r="I12" s="7"/>
      <c r="J12" s="7"/>
    </row>
    <row r="13" spans="1:10" x14ac:dyDescent="0.35">
      <c r="B13" t="s">
        <v>64</v>
      </c>
      <c r="C13" t="str">
        <f t="shared" si="2"/>
        <v>136</v>
      </c>
      <c r="D13" t="str">
        <f t="shared" ca="1" si="0"/>
        <v>=SUBSTR_FIND(B13,"Area Code: ", "; Phone", TRUE)</v>
      </c>
      <c r="E13" s="7"/>
      <c r="F13" s="7"/>
      <c r="G13" s="7"/>
      <c r="H13" s="7"/>
      <c r="I13" s="7"/>
      <c r="J13" s="7"/>
    </row>
    <row r="14" spans="1:10" x14ac:dyDescent="0.35">
      <c r="B14" t="s">
        <v>65</v>
      </c>
      <c r="C14" t="str">
        <f t="shared" si="2"/>
        <v>380</v>
      </c>
      <c r="D14" t="str">
        <f t="shared" ca="1" si="0"/>
        <v>=SUBSTR_FIND(B14,"Area Code: ", "; Phone", TRUE)</v>
      </c>
      <c r="E14" s="7"/>
      <c r="F14" s="7"/>
      <c r="G14" s="7"/>
      <c r="H14" s="7"/>
      <c r="I14" s="7"/>
      <c r="J14" s="7"/>
    </row>
    <row r="15" spans="1:10" x14ac:dyDescent="0.35">
      <c r="B15" t="s">
        <v>66</v>
      </c>
      <c r="C15" t="str">
        <f t="shared" si="2"/>
        <v>743</v>
      </c>
      <c r="D15" t="str">
        <f t="shared" ca="1" si="0"/>
        <v>=SUBSTR_FIND(B15,"Area Code: ", "; Phone", TRUE)</v>
      </c>
      <c r="E15" s="7"/>
      <c r="F15" s="7"/>
      <c r="G15" s="7"/>
      <c r="H15" s="7"/>
      <c r="I15" s="7"/>
      <c r="J15" s="7"/>
    </row>
    <row r="16" spans="1:10" x14ac:dyDescent="0.35">
      <c r="B16" t="s">
        <v>67</v>
      </c>
      <c r="C16" t="str">
        <f t="shared" si="2"/>
        <v>388</v>
      </c>
      <c r="D16" t="str">
        <f t="shared" ca="1" si="0"/>
        <v>=SUBSTR_FIND(B16,"Area Code: ", "; Phone", TRUE)</v>
      </c>
      <c r="E16" s="7"/>
      <c r="F16" s="7"/>
      <c r="G16" s="7"/>
      <c r="H16" s="7"/>
      <c r="I16" s="7"/>
      <c r="J16" s="7"/>
    </row>
    <row r="17" spans="2:10" x14ac:dyDescent="0.35">
      <c r="B17" t="s">
        <v>68</v>
      </c>
      <c r="C17" t="str">
        <f t="shared" si="2"/>
        <v>504</v>
      </c>
      <c r="D17" t="str">
        <f t="shared" ca="1" si="0"/>
        <v>=SUBSTR_FIND(B17,"Area Code: ", "; Phone", TRUE)</v>
      </c>
      <c r="E17" s="7"/>
      <c r="F17" s="7"/>
      <c r="G17" s="7"/>
      <c r="H17" s="7"/>
      <c r="I17" s="7"/>
      <c r="J17" s="7"/>
    </row>
    <row r="18" spans="2:10" x14ac:dyDescent="0.35">
      <c r="B18" t="s">
        <v>69</v>
      </c>
      <c r="C18" t="str">
        <f t="shared" si="2"/>
        <v>161</v>
      </c>
      <c r="D18" t="str">
        <f t="shared" ca="1" si="0"/>
        <v>=SUBSTR_FIND(B18,"Area Code: ", "; Phone", TRUE)</v>
      </c>
      <c r="E18" s="7"/>
      <c r="F18" s="7"/>
      <c r="G18" s="7"/>
      <c r="H18" s="7"/>
      <c r="I18" s="7"/>
      <c r="J18" s="7"/>
    </row>
    <row r="19" spans="2:10" x14ac:dyDescent="0.35">
      <c r="B19" t="s">
        <v>70</v>
      </c>
      <c r="C19" t="str">
        <f t="shared" si="2"/>
        <v>371</v>
      </c>
      <c r="D19" t="str">
        <f t="shared" ca="1" si="0"/>
        <v>=SUBSTR_FIND(B19,"Area Code: ", "; Phone", TRUE)</v>
      </c>
      <c r="E19" s="7"/>
      <c r="F19" s="7"/>
      <c r="G19" s="7"/>
      <c r="H19" s="7"/>
      <c r="I19" s="7"/>
      <c r="J19" s="7"/>
    </row>
    <row r="20" spans="2:10" x14ac:dyDescent="0.35">
      <c r="B20" s="7"/>
      <c r="C20" s="7"/>
      <c r="D20" s="7"/>
      <c r="E20" s="7"/>
      <c r="F20" s="7"/>
      <c r="G20" s="7"/>
      <c r="H20" s="7"/>
      <c r="I20" s="7"/>
      <c r="J20" s="7"/>
    </row>
    <row r="21" spans="2:10" x14ac:dyDescent="0.35">
      <c r="B21" s="7"/>
      <c r="C21" s="7"/>
      <c r="D21" s="7"/>
      <c r="E21" s="7"/>
      <c r="F21" s="7"/>
      <c r="G21" s="7"/>
      <c r="H21" s="7"/>
      <c r="I21" s="7"/>
      <c r="J21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4A95E-0FBA-405F-B956-65E552D2F5B1}">
  <sheetPr codeName="Sheet8"/>
  <dimension ref="A1:J20"/>
  <sheetViews>
    <sheetView workbookViewId="0">
      <selection sqref="A1:D1"/>
    </sheetView>
  </sheetViews>
  <sheetFormatPr defaultRowHeight="14.5" x14ac:dyDescent="0.35"/>
  <cols>
    <col min="1" max="1" width="14.7265625" bestFit="1" customWidth="1"/>
    <col min="2" max="2" width="54.54296875" bestFit="1" customWidth="1"/>
    <col min="3" max="3" width="11.17968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10" x14ac:dyDescent="0.35">
      <c r="A2" t="s">
        <v>10</v>
      </c>
      <c r="B2" t="s">
        <v>4</v>
      </c>
      <c r="C2" t="str">
        <f>SUBSTR_SEARCH(B2, "e", "o")</f>
        <v>ello Wo</v>
      </c>
      <c r="D2" t="str">
        <f t="shared" ref="D2:D4" ca="1" si="0">_xlfn.FORMULATEXT(C2)</f>
        <v>=SUBSTR_SEARCH(B2, "e", "o")</v>
      </c>
    </row>
    <row r="3" spans="1:10" x14ac:dyDescent="0.35">
      <c r="B3" t="s">
        <v>4</v>
      </c>
      <c r="C3" t="str">
        <f>SUBSTR_SEARCH(B3, "e", "o", TRUE)</f>
        <v>llo W</v>
      </c>
      <c r="D3" t="str">
        <f t="shared" ref="D3" ca="1" si="1">_xlfn.FORMULATEXT(C3)</f>
        <v>=SUBSTR_SEARCH(B3, "e", "o", TRUE)</v>
      </c>
    </row>
    <row r="4" spans="1:10" x14ac:dyDescent="0.35">
      <c r="B4" t="s">
        <v>4</v>
      </c>
      <c r="C4" t="str">
        <f>SUBSTR_SEARCH(B4, "ell", "or")</f>
        <v>ello Wor</v>
      </c>
      <c r="D4" t="str">
        <f t="shared" ca="1" si="0"/>
        <v>=SUBSTR_SEARCH(B4, "ell", "or")</v>
      </c>
    </row>
    <row r="5" spans="1:10" x14ac:dyDescent="0.35">
      <c r="B5" t="s">
        <v>4</v>
      </c>
      <c r="C5" t="str">
        <f>SUBSTR_SEARCH(B5, "ell", "or", TRUE)</f>
        <v>o W</v>
      </c>
      <c r="D5" t="str">
        <f t="shared" ref="D5" ca="1" si="2">_xlfn.FORMULATEXT(C5)</f>
        <v>=SUBSTR_SEARCH(B5, "ell", "or", TRUE)</v>
      </c>
    </row>
    <row r="6" spans="1:10" x14ac:dyDescent="0.35">
      <c r="B6" t="s">
        <v>20</v>
      </c>
      <c r="C6" t="str">
        <f>SUBSTR_SEARCH(B6, "NE ", " THR")</f>
        <v>ne Two Thr</v>
      </c>
      <c r="D6" t="str">
        <f t="shared" ref="D6" ca="1" si="3">_xlfn.FORMULATEXT(C6)</f>
        <v>=SUBSTR_SEARCH(B6, "NE ", " THR")</v>
      </c>
    </row>
    <row r="7" spans="1:10" x14ac:dyDescent="0.35">
      <c r="B7" t="s">
        <v>20</v>
      </c>
      <c r="C7" t="str">
        <f>SUBSTR_SEARCH(B7, "NE ", " THR", TRUE)</f>
        <v>Two</v>
      </c>
      <c r="D7" t="str">
        <f t="shared" ref="D7:D9" ca="1" si="4">_xlfn.FORMULATEXT(C7)</f>
        <v>=SUBSTR_SEARCH(B7, "NE ", " THR", TRUE)</v>
      </c>
    </row>
    <row r="9" spans="1:10" x14ac:dyDescent="0.35">
      <c r="B9" t="s">
        <v>61</v>
      </c>
      <c r="C9" t="str">
        <f t="shared" ref="C9:C18" si="5">SUBSTR_SEARCH(B9,"Area Code: ", "; Phone", TRUE)</f>
        <v>315</v>
      </c>
      <c r="D9" t="str">
        <f t="shared" ca="1" si="4"/>
        <v>=SUBSTR_SEARCH(B9,"Area Code: ", "; Phone", TRUE)</v>
      </c>
    </row>
    <row r="10" spans="1:10" x14ac:dyDescent="0.35">
      <c r="B10" t="s">
        <v>62</v>
      </c>
      <c r="C10" t="str">
        <f t="shared" si="5"/>
        <v>423</v>
      </c>
      <c r="D10" t="str">
        <f t="shared" ref="D10:D18" ca="1" si="6">_xlfn.FORMULATEXT(C10)</f>
        <v>=SUBSTR_SEARCH(B10,"Area Code: ", "; Phone", TRUE)</v>
      </c>
      <c r="E10" s="7"/>
      <c r="F10" s="7"/>
      <c r="G10" s="7"/>
      <c r="H10" s="7"/>
      <c r="I10" s="7"/>
      <c r="J10" s="7"/>
    </row>
    <row r="11" spans="1:10" x14ac:dyDescent="0.35">
      <c r="B11" t="s">
        <v>63</v>
      </c>
      <c r="C11" t="str">
        <f t="shared" si="5"/>
        <v>629</v>
      </c>
      <c r="D11" t="str">
        <f t="shared" ca="1" si="6"/>
        <v>=SUBSTR_SEARCH(B11,"Area Code: ", "; Phone", TRUE)</v>
      </c>
      <c r="E11" s="7"/>
      <c r="F11" s="7"/>
      <c r="G11" s="7"/>
      <c r="H11" s="7"/>
      <c r="I11" s="7"/>
      <c r="J11" s="7"/>
    </row>
    <row r="12" spans="1:10" x14ac:dyDescent="0.35">
      <c r="B12" t="s">
        <v>64</v>
      </c>
      <c r="C12" t="str">
        <f t="shared" si="5"/>
        <v>136</v>
      </c>
      <c r="D12" t="str">
        <f t="shared" ca="1" si="6"/>
        <v>=SUBSTR_SEARCH(B12,"Area Code: ", "; Phone", TRUE)</v>
      </c>
      <c r="E12" s="7"/>
      <c r="F12" s="7"/>
      <c r="G12" s="7"/>
      <c r="H12" s="7"/>
      <c r="I12" s="7"/>
      <c r="J12" s="7"/>
    </row>
    <row r="13" spans="1:10" x14ac:dyDescent="0.35">
      <c r="B13" t="s">
        <v>65</v>
      </c>
      <c r="C13" t="str">
        <f t="shared" si="5"/>
        <v>380</v>
      </c>
      <c r="D13" t="str">
        <f t="shared" ca="1" si="6"/>
        <v>=SUBSTR_SEARCH(B13,"Area Code: ", "; Phone", TRUE)</v>
      </c>
      <c r="E13" s="7"/>
      <c r="F13" s="7"/>
      <c r="G13" s="7"/>
      <c r="H13" s="7"/>
      <c r="I13" s="7"/>
      <c r="J13" s="7"/>
    </row>
    <row r="14" spans="1:10" x14ac:dyDescent="0.35">
      <c r="B14" t="s">
        <v>66</v>
      </c>
      <c r="C14" t="str">
        <f t="shared" si="5"/>
        <v>743</v>
      </c>
      <c r="D14" t="str">
        <f t="shared" ca="1" si="6"/>
        <v>=SUBSTR_SEARCH(B14,"Area Code: ", "; Phone", TRUE)</v>
      </c>
      <c r="E14" s="7"/>
      <c r="F14" s="7"/>
      <c r="G14" s="7"/>
      <c r="H14" s="7"/>
      <c r="I14" s="7"/>
      <c r="J14" s="7"/>
    </row>
    <row r="15" spans="1:10" x14ac:dyDescent="0.35">
      <c r="B15" t="s">
        <v>67</v>
      </c>
      <c r="C15" t="str">
        <f t="shared" si="5"/>
        <v>388</v>
      </c>
      <c r="D15" t="str">
        <f t="shared" ca="1" si="6"/>
        <v>=SUBSTR_SEARCH(B15,"Area Code: ", "; Phone", TRUE)</v>
      </c>
      <c r="E15" s="7"/>
      <c r="F15" s="7"/>
      <c r="G15" s="7"/>
      <c r="H15" s="7"/>
      <c r="I15" s="7"/>
      <c r="J15" s="7"/>
    </row>
    <row r="16" spans="1:10" x14ac:dyDescent="0.35">
      <c r="B16" t="s">
        <v>68</v>
      </c>
      <c r="C16" t="str">
        <f t="shared" si="5"/>
        <v>504</v>
      </c>
      <c r="D16" t="str">
        <f t="shared" ca="1" si="6"/>
        <v>=SUBSTR_SEARCH(B16,"Area Code: ", "; Phone", TRUE)</v>
      </c>
      <c r="E16" s="7"/>
      <c r="F16" s="7"/>
      <c r="G16" s="7"/>
      <c r="H16" s="7"/>
      <c r="I16" s="7"/>
      <c r="J16" s="7"/>
    </row>
    <row r="17" spans="2:10" x14ac:dyDescent="0.35">
      <c r="B17" t="s">
        <v>69</v>
      </c>
      <c r="C17" t="str">
        <f t="shared" si="5"/>
        <v>161</v>
      </c>
      <c r="D17" t="str">
        <f t="shared" ca="1" si="6"/>
        <v>=SUBSTR_SEARCH(B17,"Area Code: ", "; Phone", TRUE)</v>
      </c>
      <c r="E17" s="7"/>
      <c r="F17" s="7"/>
      <c r="G17" s="7"/>
      <c r="H17" s="7"/>
      <c r="I17" s="7"/>
      <c r="J17" s="7"/>
    </row>
    <row r="18" spans="2:10" x14ac:dyDescent="0.35">
      <c r="B18" t="s">
        <v>70</v>
      </c>
      <c r="C18" t="str">
        <f t="shared" si="5"/>
        <v>371</v>
      </c>
      <c r="D18" t="str">
        <f t="shared" ca="1" si="6"/>
        <v>=SUBSTR_SEARCH(B18,"Area Code: ", "; Phone", TRUE)</v>
      </c>
      <c r="E18" s="7"/>
      <c r="F18" s="7"/>
      <c r="G18" s="7"/>
      <c r="H18" s="7"/>
      <c r="I18" s="7"/>
      <c r="J18" s="7"/>
    </row>
    <row r="19" spans="2:10" x14ac:dyDescent="0.35">
      <c r="B19" s="7"/>
      <c r="C19" s="7"/>
      <c r="D19" s="7"/>
      <c r="E19" s="7"/>
      <c r="F19" s="7"/>
      <c r="G19" s="7"/>
      <c r="H19" s="7"/>
      <c r="I19" s="7"/>
      <c r="J19" s="7"/>
    </row>
    <row r="20" spans="2:10" x14ac:dyDescent="0.35">
      <c r="B20" s="7"/>
      <c r="C20" s="7"/>
      <c r="D20" s="7"/>
      <c r="E20" s="7"/>
      <c r="F20" s="7"/>
      <c r="G20" s="7"/>
      <c r="H20" s="7"/>
      <c r="I20" s="7"/>
      <c r="J20" s="7"/>
    </row>
  </sheetData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68684-52CE-4388-AE3A-69E2F01E2714}">
  <sheetPr codeName="Sheet9"/>
  <dimension ref="A1:D3"/>
  <sheetViews>
    <sheetView workbookViewId="0"/>
  </sheetViews>
  <sheetFormatPr defaultRowHeight="14.5" x14ac:dyDescent="0.35"/>
  <cols>
    <col min="3" max="3" width="10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11</v>
      </c>
      <c r="B2" t="s">
        <v>12</v>
      </c>
      <c r="C2" t="str">
        <f>REPEAT(B2,2)</f>
        <v>HelloHello</v>
      </c>
      <c r="D2" t="str">
        <f t="shared" ref="D2:D3" ca="1" si="0">_xlfn.FORMULATEXT(C2)</f>
        <v>=REPEAT(B2,2)</v>
      </c>
    </row>
    <row r="3" spans="1:4" x14ac:dyDescent="0.35">
      <c r="B3" t="s">
        <v>28</v>
      </c>
      <c r="C3" t="str">
        <f>REPEAT(B3,10)</f>
        <v>==========</v>
      </c>
      <c r="D3" t="str">
        <f t="shared" ca="1" si="0"/>
        <v>=REPEAT(B3,10)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9F069-086B-452B-9985-99D2B1625767}">
  <sheetPr codeName="Sheet10"/>
  <dimension ref="A1:D6"/>
  <sheetViews>
    <sheetView workbookViewId="0"/>
  </sheetViews>
  <sheetFormatPr defaultRowHeight="14.5" x14ac:dyDescent="0.35"/>
  <cols>
    <col min="1" max="1" width="11.1796875" bestFit="1" customWidth="1"/>
    <col min="2" max="2" width="10" bestFit="1" customWidth="1"/>
    <col min="3" max="3" width="18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13</v>
      </c>
      <c r="B2" t="s">
        <v>14</v>
      </c>
      <c r="C2" t="str">
        <f>FORMATTER(B2, "World")</f>
        <v>Hello World</v>
      </c>
      <c r="D2" t="str">
        <f t="shared" ref="D2:D5" ca="1" si="0">_xlfn.FORMULATEXT(C2)</f>
        <v>=FORMATTER(B2, "World")</v>
      </c>
    </row>
    <row r="3" spans="1:4" x14ac:dyDescent="0.35">
      <c r="B3" t="s">
        <v>15</v>
      </c>
      <c r="C3" t="str">
        <f>FORMATTER(B3, "Hello", "World")</f>
        <v>Hello - World</v>
      </c>
      <c r="D3" t="str">
        <f t="shared" ca="1" si="0"/>
        <v>=FORMATTER(B3, "Hello", "World")</v>
      </c>
    </row>
    <row r="4" spans="1:4" x14ac:dyDescent="0.35">
      <c r="B4" t="s">
        <v>16</v>
      </c>
      <c r="C4" t="str">
        <f>FORMATTER(B4,"first","last","email.com")</f>
        <v>first.last@email.com</v>
      </c>
      <c r="D4" t="str">
        <f t="shared" ca="1" si="0"/>
        <v>=FORMATTER(B4,"first","last","email.com")</v>
      </c>
    </row>
    <row r="5" spans="1:4" x14ac:dyDescent="0.35">
      <c r="B5" t="s">
        <v>12</v>
      </c>
      <c r="C5" t="str">
        <f>FORMATTER("{1} - {2}",B5:B6)</f>
        <v>Hello - World</v>
      </c>
      <c r="D5" t="str">
        <f t="shared" ca="1" si="0"/>
        <v>=FORMATTER("{1} - {2}",B5:B6)</v>
      </c>
    </row>
    <row r="6" spans="1:4" x14ac:dyDescent="0.35">
      <c r="B6" t="s">
        <v>19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BD41-BC77-4F1A-A84A-A1BA9A5C5492}">
  <sheetPr codeName="Sheet11"/>
  <dimension ref="A1:D6"/>
  <sheetViews>
    <sheetView workbookViewId="0">
      <selection activeCell="D6" sqref="D6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17</v>
      </c>
      <c r="B2">
        <v>123</v>
      </c>
      <c r="C2" t="str">
        <f>ZFILL(B2,5)</f>
        <v>00123</v>
      </c>
      <c r="D2" t="str">
        <f t="shared" ref="D2:D6" ca="1" si="0">_xlfn.FORMULATEXT(C2)</f>
        <v>=ZFILL(B2,5)</v>
      </c>
    </row>
    <row r="3" spans="1:4" x14ac:dyDescent="0.35">
      <c r="B3">
        <v>5678</v>
      </c>
      <c r="C3" t="str">
        <f>ZFILL(B3,5)</f>
        <v>05678</v>
      </c>
      <c r="D3" t="str">
        <f t="shared" ca="1" si="0"/>
        <v>=ZFILL(B3,5)</v>
      </c>
    </row>
    <row r="4" spans="1:4" x14ac:dyDescent="0.35">
      <c r="B4">
        <v>12345678</v>
      </c>
      <c r="C4" t="str">
        <f>ZFILL(B4,5)</f>
        <v>12345678</v>
      </c>
      <c r="D4" t="str">
        <f t="shared" ca="1" si="0"/>
        <v>=ZFILL(B4,5)</v>
      </c>
    </row>
    <row r="5" spans="1:4" x14ac:dyDescent="0.35">
      <c r="B5">
        <v>123</v>
      </c>
      <c r="C5" t="str">
        <f>ZFILL(B5,5, "X")</f>
        <v>XX123</v>
      </c>
      <c r="D5" t="str">
        <f t="shared" ca="1" si="0"/>
        <v>=ZFILL(B5,5, "X")</v>
      </c>
    </row>
    <row r="6" spans="1:4" x14ac:dyDescent="0.35">
      <c r="B6">
        <v>123</v>
      </c>
      <c r="C6" t="str">
        <f>ZFILL(B6,5, "X",TRUE)</f>
        <v>123XX</v>
      </c>
      <c r="D6" t="str">
        <f t="shared" ca="1" si="0"/>
        <v>=ZFILL(B6,5, "X",TRUE)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EC8FF-2C02-41EA-93AD-A4099B80BD0A}">
  <sheetPr codeName="Sheet13"/>
  <dimension ref="A1:D6"/>
  <sheetViews>
    <sheetView workbookViewId="0">
      <selection activeCell="C6" sqref="C6"/>
    </sheetView>
  </sheetViews>
  <sheetFormatPr defaultRowHeight="14.5" x14ac:dyDescent="0.35"/>
  <cols>
    <col min="1" max="1" width="10.08984375" bestFit="1" customWidth="1"/>
    <col min="2" max="2" width="13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22</v>
      </c>
      <c r="B2" t="s">
        <v>4</v>
      </c>
      <c r="C2" t="str">
        <f>SPLIT_TEXT(B2,2)</f>
        <v>World</v>
      </c>
      <c r="D2" t="str">
        <f t="shared" ref="D2:D6" ca="1" si="0">_xlfn.FORMULATEXT(C2)</f>
        <v>=SPLIT_TEXT(B2,2)</v>
      </c>
    </row>
    <row r="3" spans="1:4" x14ac:dyDescent="0.35">
      <c r="B3" t="s">
        <v>20</v>
      </c>
      <c r="C3" t="str">
        <f>SPLIT_TEXT(B3,1)</f>
        <v>One</v>
      </c>
      <c r="D3" t="str">
        <f t="shared" ca="1" si="0"/>
        <v>=SPLIT_TEXT(B3,1)</v>
      </c>
    </row>
    <row r="4" spans="1:4" x14ac:dyDescent="0.35">
      <c r="B4" t="s">
        <v>20</v>
      </c>
      <c r="C4" t="str">
        <f>SPLIT_TEXT(B4,2)</f>
        <v>Two</v>
      </c>
      <c r="D4" t="str">
        <f t="shared" ca="1" si="0"/>
        <v>=SPLIT_TEXT(B4,2)</v>
      </c>
    </row>
    <row r="5" spans="1:4" x14ac:dyDescent="0.35">
      <c r="B5" t="s">
        <v>20</v>
      </c>
      <c r="C5" t="str">
        <f>SPLIT_TEXT(B5,3)</f>
        <v>Three</v>
      </c>
      <c r="D5" t="str">
        <f t="shared" ca="1" si="0"/>
        <v>=SPLIT_TEXT(B5,3)</v>
      </c>
    </row>
    <row r="6" spans="1:4" x14ac:dyDescent="0.35">
      <c r="B6" t="s">
        <v>21</v>
      </c>
      <c r="C6" t="str">
        <f>SPLIT_TEXT(B6,2, "-")</f>
        <v>Two</v>
      </c>
      <c r="D6" t="str">
        <f t="shared" ca="1" si="0"/>
        <v>=SPLIT_TEXT(B6,2, "-")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0AB5C-CDD4-4C36-BF3F-35670B1E8E64}">
  <sheetPr codeName="Sheet14"/>
  <dimension ref="A1:D4"/>
  <sheetViews>
    <sheetView workbookViewId="0">
      <selection activeCell="E23" sqref="E23"/>
    </sheetView>
  </sheetViews>
  <sheetFormatPr defaultRowHeight="14.5" x14ac:dyDescent="0.35"/>
  <cols>
    <col min="1" max="1" width="14.36328125" bestFit="1" customWidth="1"/>
    <col min="2" max="2" width="14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23</v>
      </c>
      <c r="B2" t="s">
        <v>4</v>
      </c>
      <c r="C2">
        <f>COUNT_WORDS(B2)</f>
        <v>2</v>
      </c>
      <c r="D2" t="str">
        <f ca="1">_xlfn.FORMULATEXT(C2)</f>
        <v>=COUNT_WORDS(B2)</v>
      </c>
    </row>
    <row r="3" spans="1:4" x14ac:dyDescent="0.35">
      <c r="B3" t="s">
        <v>20</v>
      </c>
      <c r="C3">
        <f>COUNT_WORDS(B3)</f>
        <v>3</v>
      </c>
      <c r="D3" t="str">
        <f t="shared" ref="D3:D4" ca="1" si="0">_xlfn.FORMULATEXT(C3)</f>
        <v>=COUNT_WORDS(B3)</v>
      </c>
    </row>
    <row r="4" spans="1:4" x14ac:dyDescent="0.35">
      <c r="B4" t="s">
        <v>21</v>
      </c>
      <c r="C4">
        <f>COUNT_WORDS(B4, "-")</f>
        <v>3</v>
      </c>
      <c r="D4" t="str">
        <f t="shared" ca="1" si="0"/>
        <v>=COUNT_WORDS(B4, "-")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284CB-A905-4A5F-B960-890B9765C090}">
  <sheetPr codeName="Sheet15"/>
  <dimension ref="A1:D3"/>
  <sheetViews>
    <sheetView workbookViewId="0"/>
  </sheetViews>
  <sheetFormatPr defaultRowHeight="14.5" x14ac:dyDescent="0.35"/>
  <cols>
    <col min="1" max="1" width="11.81640625" bestFit="1" customWidth="1"/>
    <col min="2" max="2" width="13.6328125" bestFit="1" customWidth="1"/>
    <col min="3" max="3" width="12.3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24</v>
      </c>
      <c r="B2" t="s">
        <v>4</v>
      </c>
      <c r="C2" t="str">
        <f>CAMEL_CASE(B2)</f>
        <v>helloWorld</v>
      </c>
      <c r="D2" t="str">
        <f t="shared" ref="D2:D3" ca="1" si="0">_xlfn.FORMULATEXT(C2)</f>
        <v>=CAMEL_CASE(B2)</v>
      </c>
    </row>
    <row r="3" spans="1:4" x14ac:dyDescent="0.35">
      <c r="B3" t="s">
        <v>20</v>
      </c>
      <c r="C3" t="str">
        <f>CAMEL_CASE(B3)</f>
        <v>oneTwoThree</v>
      </c>
      <c r="D3" t="str">
        <f t="shared" ca="1" si="0"/>
        <v>=CAMEL_CASE(B3)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BD250-65F8-4859-B9B8-0F551FB22E0D}">
  <sheetPr codeName="Sheet16"/>
  <dimension ref="A1:D3"/>
  <sheetViews>
    <sheetView workbookViewId="0"/>
  </sheetViews>
  <sheetFormatPr defaultRowHeight="14.5" x14ac:dyDescent="0.35"/>
  <cols>
    <col min="1" max="1" width="11.36328125" bestFit="1" customWidth="1"/>
    <col min="2" max="2" width="13.6328125" bestFit="1" customWidth="1"/>
    <col min="3" max="3" width="13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25</v>
      </c>
      <c r="B2" t="s">
        <v>4</v>
      </c>
      <c r="C2" t="str">
        <f>KEBAB_CASE(B2)</f>
        <v>hello-world</v>
      </c>
      <c r="D2" t="str">
        <f t="shared" ref="D2:D3" ca="1" si="0">_xlfn.FORMULATEXT(C2)</f>
        <v>=KEBAB_CASE(B2)</v>
      </c>
    </row>
    <row r="3" spans="1:4" x14ac:dyDescent="0.35">
      <c r="B3" t="s">
        <v>20</v>
      </c>
      <c r="C3" t="str">
        <f>KEBAB_CASE(B3)</f>
        <v>one-two-three</v>
      </c>
      <c r="D3" t="str">
        <f t="shared" ca="1" si="0"/>
        <v>=KEBAB_CASE(B3)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2799A-1B05-4EB0-9351-BD0C14CE349F}">
  <sheetPr codeName="Sheet17"/>
  <dimension ref="A1:D6"/>
  <sheetViews>
    <sheetView workbookViewId="0">
      <selection sqref="A1:D1"/>
    </sheetView>
  </sheetViews>
  <sheetFormatPr defaultRowHeight="14.5" x14ac:dyDescent="0.35"/>
  <cols>
    <col min="1" max="1" width="20.1796875" bestFit="1" customWidth="1"/>
    <col min="2" max="2" width="13.6328125" bestFit="1" customWidth="1"/>
    <col min="3" max="3" width="10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26</v>
      </c>
      <c r="B2" t="s">
        <v>4</v>
      </c>
      <c r="C2" t="str">
        <f>REMOVE_CHARACTERS(B2,"l")</f>
        <v>Heo Word</v>
      </c>
      <c r="D2" t="str">
        <f t="shared" ref="D2:D6" ca="1" si="0">_xlfn.FORMULATEXT(C2)</f>
        <v>=REMOVE_CHARACTERS(B2,"l")</v>
      </c>
    </row>
    <row r="3" spans="1:4" x14ac:dyDescent="0.35">
      <c r="B3" t="s">
        <v>4</v>
      </c>
      <c r="C3" t="str">
        <f>REMOVE_CHARACTERS(B3,"lo")</f>
        <v>He Wrd</v>
      </c>
      <c r="D3" t="str">
        <f t="shared" ca="1" si="0"/>
        <v>=REMOVE_CHARACTERS(B3,"lo")</v>
      </c>
    </row>
    <row r="4" spans="1:4" x14ac:dyDescent="0.35">
      <c r="B4" t="s">
        <v>4</v>
      </c>
      <c r="C4" t="str">
        <f>REMOVE_CHARACTERS(B4,"lod")</f>
        <v>He Wr</v>
      </c>
      <c r="D4" t="str">
        <f t="shared" ca="1" si="0"/>
        <v>=REMOVE_CHARACTERS(B4,"lod")</v>
      </c>
    </row>
    <row r="5" spans="1:4" x14ac:dyDescent="0.35">
      <c r="B5" t="s">
        <v>20</v>
      </c>
      <c r="C5" t="str">
        <f>REMOVE_CHARACTERS(B5,"O","T")</f>
        <v>ne wo hree</v>
      </c>
      <c r="D5" t="str">
        <f t="shared" ca="1" si="0"/>
        <v>=REMOVE_CHARACTERS(B5,"O","T")</v>
      </c>
    </row>
    <row r="6" spans="1:4" x14ac:dyDescent="0.35">
      <c r="B6" t="s">
        <v>20</v>
      </c>
      <c r="C6" t="str">
        <f>REMOVE_CHARACTERS(B6,"OT")</f>
        <v>ne wo hree</v>
      </c>
      <c r="D6" t="str">
        <f t="shared" ca="1" si="0"/>
        <v>=REMOVE_CHARACTERS(B6,"OT")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1C664-AA0A-4D09-AA22-8268FC9725C3}">
  <sheetPr codeName="Sheet18"/>
  <dimension ref="A1:J14"/>
  <sheetViews>
    <sheetView workbookViewId="0">
      <selection sqref="A1:D1"/>
    </sheetView>
  </sheetViews>
  <sheetFormatPr defaultRowHeight="14.5" x14ac:dyDescent="0.35"/>
  <cols>
    <col min="1" max="1" width="14.7265625" bestFit="1" customWidth="1"/>
    <col min="2" max="2" width="26.08984375" bestFit="1" customWidth="1"/>
    <col min="3" max="3" width="23.90625" bestFit="1" customWidth="1"/>
    <col min="5" max="5" width="34.0898437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10" x14ac:dyDescent="0.35">
      <c r="A2" t="s">
        <v>31</v>
      </c>
      <c r="B2" t="s">
        <v>29</v>
      </c>
      <c r="C2" t="str">
        <f>COMPANY_CASE(B2)</f>
        <v>Hello World</v>
      </c>
      <c r="D2" t="str">
        <f ca="1">_xlfn.FORMULATEXT(C2)</f>
        <v>=COMPANY_CASE(B2)</v>
      </c>
    </row>
    <row r="3" spans="1:10" x14ac:dyDescent="0.35">
      <c r="B3" t="s">
        <v>30</v>
      </c>
      <c r="C3" t="str">
        <f>COMPANY_CASE(B3)</f>
        <v>X.Y.Z Company &amp; Co.</v>
      </c>
      <c r="D3" t="str">
        <f t="shared" ref="D3:D11" ca="1" si="0">_xlfn.FORMULATEXT(C3)</f>
        <v>=COMPANY_CASE(B3)</v>
      </c>
    </row>
    <row r="4" spans="1:10" x14ac:dyDescent="0.35">
      <c r="B4" t="s">
        <v>39</v>
      </c>
      <c r="C4" t="str">
        <f>COMPANY_CASE(B4)</f>
        <v>X.Y.Z PLC</v>
      </c>
      <c r="D4" t="str">
        <f t="shared" ca="1" si="0"/>
        <v>=COMPANY_CASE(B4)</v>
      </c>
    </row>
    <row r="5" spans="1:10" x14ac:dyDescent="0.35">
      <c r="B5" t="s">
        <v>32</v>
      </c>
      <c r="C5" t="str">
        <f>COMPANY_CASE(B5)</f>
        <v>One Company GmbH</v>
      </c>
      <c r="D5" t="str">
        <f t="shared" ca="1" si="0"/>
        <v>=COMPANY_CASE(B5)</v>
      </c>
    </row>
    <row r="6" spans="1:10" x14ac:dyDescent="0.35">
      <c r="B6" t="s">
        <v>33</v>
      </c>
      <c r="C6" t="str">
        <f t="shared" ref="C6:C11" si="1">COMPANY_CASE(B6)</f>
        <v>Two Company A. en P.</v>
      </c>
      <c r="D6" t="str">
        <f t="shared" ca="1" si="0"/>
        <v>=COMPANY_CASE(B6)</v>
      </c>
    </row>
    <row r="7" spans="1:10" x14ac:dyDescent="0.35">
      <c r="B7" t="s">
        <v>34</v>
      </c>
      <c r="C7" t="str">
        <f t="shared" si="1"/>
        <v>Three Company S. en N.C.</v>
      </c>
      <c r="D7" t="str">
        <f t="shared" ca="1" si="0"/>
        <v>=COMPANY_CASE(B7)</v>
      </c>
    </row>
    <row r="8" spans="1:10" x14ac:dyDescent="0.35">
      <c r="B8" t="s">
        <v>37</v>
      </c>
      <c r="C8" t="str">
        <f t="shared" si="1"/>
        <v>Four Company spol s.r.o.</v>
      </c>
      <c r="D8" t="str">
        <f t="shared" ca="1" si="0"/>
        <v>=COMPANY_CASE(B8)</v>
      </c>
    </row>
    <row r="9" spans="1:10" x14ac:dyDescent="0.35">
      <c r="B9" t="s">
        <v>35</v>
      </c>
      <c r="C9" t="str">
        <f t="shared" si="1"/>
        <v>Five Company BVBA</v>
      </c>
      <c r="D9" t="str">
        <f t="shared" ca="1" si="0"/>
        <v>=COMPANY_CASE(B9)</v>
      </c>
    </row>
    <row r="10" spans="1:10" x14ac:dyDescent="0.35">
      <c r="B10" t="s">
        <v>36</v>
      </c>
      <c r="C10" t="str">
        <f t="shared" si="1"/>
        <v>Amazon.com Inc.</v>
      </c>
      <c r="D10" t="str">
        <f t="shared" ca="1" si="0"/>
        <v>=COMPANY_CASE(B10)</v>
      </c>
    </row>
    <row r="11" spans="1:10" x14ac:dyDescent="0.35">
      <c r="B11" t="s">
        <v>38</v>
      </c>
      <c r="C11" t="str">
        <f t="shared" si="1"/>
        <v>Amazon.Com Inc.</v>
      </c>
      <c r="D11" t="str">
        <f t="shared" ca="1" si="0"/>
        <v>=COMPANY_CASE(B11)</v>
      </c>
    </row>
    <row r="14" spans="1:10" x14ac:dyDescent="0.35">
      <c r="D14" s="2"/>
      <c r="E14" s="2"/>
      <c r="F14" s="2"/>
      <c r="J14" s="2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7E4CC-5830-4862-9DB2-7B00CFFB1006}">
  <sheetPr codeName="Sheet19"/>
  <dimension ref="A1:D2"/>
  <sheetViews>
    <sheetView workbookViewId="0">
      <selection sqref="A1:D1"/>
    </sheetView>
  </sheetViews>
  <sheetFormatPr defaultRowHeight="14.5" x14ac:dyDescent="0.35"/>
  <cols>
    <col min="1" max="1" width="13.1796875" bestFit="1" customWidth="1"/>
    <col min="2" max="3" width="11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40</v>
      </c>
      <c r="B2" t="s">
        <v>4</v>
      </c>
      <c r="C2" t="str">
        <f>REVERSE_TEXT(B2)</f>
        <v>dlroW olleH</v>
      </c>
      <c r="D2" t="str">
        <f ca="1">_xlfn.FORMULATEXT(C2)</f>
        <v>=REVERSE_TEXT(B2)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24A43-CE34-497B-AF11-061DA26E4802}">
  <sheetPr codeName="Sheet20"/>
  <dimension ref="A1:D4"/>
  <sheetViews>
    <sheetView workbookViewId="0">
      <selection sqref="A1:D1"/>
    </sheetView>
  </sheetViews>
  <sheetFormatPr defaultRowHeight="14.5" x14ac:dyDescent="0.35"/>
  <cols>
    <col min="1" max="1" width="15.6328125" bestFit="1" customWidth="1"/>
    <col min="2" max="3" width="14.453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41</v>
      </c>
      <c r="B2" t="s">
        <v>4</v>
      </c>
      <c r="C2" t="str">
        <f>REVERSE_WORDS(B2)</f>
        <v>World Hello</v>
      </c>
      <c r="D2" t="str">
        <f ca="1">_xlfn.FORMULATEXT(C2)</f>
        <v>=REVERSE_WORDS(B2)</v>
      </c>
    </row>
    <row r="3" spans="1:4" x14ac:dyDescent="0.35">
      <c r="B3" t="s">
        <v>20</v>
      </c>
      <c r="C3" t="str">
        <f>REVERSE_WORDS(B3)</f>
        <v>Three Two One</v>
      </c>
      <c r="D3" t="str">
        <f ca="1">_xlfn.FORMULATEXT(C3)</f>
        <v>=REVERSE_WORDS(B3)</v>
      </c>
    </row>
    <row r="4" spans="1:4" x14ac:dyDescent="0.35">
      <c r="B4" t="s">
        <v>21</v>
      </c>
      <c r="C4" t="str">
        <f>REVERSE_WORDS(B4, "-")</f>
        <v>Three-Two-One</v>
      </c>
      <c r="D4" t="str">
        <f ca="1">_xlfn.FORMULATEXT(C4)</f>
        <v>=REVERSE_WORDS(B4, "-")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BBAFB-AF4C-4689-9852-15A6549D4C4E}">
  <sheetPr codeName="Sheet23"/>
  <dimension ref="A1:D7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ht="58" x14ac:dyDescent="0.35">
      <c r="A2" s="5" t="s">
        <v>45</v>
      </c>
      <c r="B2" s="3" t="s">
        <v>44</v>
      </c>
      <c r="C2" s="3" t="str">
        <f>INDENT(B2)</f>
        <v xml:space="preserve">    Hello
    World
    One
    Two</v>
      </c>
      <c r="D2" s="6" t="str">
        <f ca="1">_xlfn.FORMULATEXT(C2)</f>
        <v>=INDENT(B2)</v>
      </c>
    </row>
    <row r="3" spans="1:4" ht="58" x14ac:dyDescent="0.35">
      <c r="B3" s="4">
        <v>4</v>
      </c>
      <c r="C3" s="3" t="str">
        <f>INDENT($B$2,B3)</f>
        <v xml:space="preserve">    Hello
    World
    One
    Two</v>
      </c>
      <c r="D3" s="6" t="str">
        <f t="shared" ref="D3:D7" ca="1" si="0">_xlfn.FORMULATEXT(C3)</f>
        <v>=INDENT($B$2,B3)</v>
      </c>
    </row>
    <row r="4" spans="1:4" ht="58" x14ac:dyDescent="0.35">
      <c r="B4" s="4">
        <v>3</v>
      </c>
      <c r="C4" s="3" t="str">
        <f>INDENT($B$2,B4)</f>
        <v xml:space="preserve">   Hello
   World
   One
   Two</v>
      </c>
      <c r="D4" s="6" t="str">
        <f t="shared" ca="1" si="0"/>
        <v>=INDENT($B$2,B4)</v>
      </c>
    </row>
    <row r="5" spans="1:4" ht="58" x14ac:dyDescent="0.35">
      <c r="B5" s="4">
        <v>2</v>
      </c>
      <c r="C5" s="3" t="str">
        <f>INDENT($B$2,B5)</f>
        <v xml:space="preserve">  Hello
  World
  One
  Two</v>
      </c>
      <c r="D5" s="6" t="str">
        <f t="shared" ca="1" si="0"/>
        <v>=INDENT($B$2,B5)</v>
      </c>
    </row>
    <row r="6" spans="1:4" ht="58" x14ac:dyDescent="0.35">
      <c r="B6" s="4">
        <v>1</v>
      </c>
      <c r="C6" s="3" t="str">
        <f>INDENT($B$2,B6)</f>
        <v xml:space="preserve"> Hello
 World
 One
 Two</v>
      </c>
      <c r="D6" s="6" t="str">
        <f t="shared" ca="1" si="0"/>
        <v>=INDENT($B$2,B6)</v>
      </c>
    </row>
    <row r="7" spans="1:4" ht="58" x14ac:dyDescent="0.35">
      <c r="B7" s="4">
        <v>0</v>
      </c>
      <c r="C7" s="3" t="str">
        <f>INDENT($B$2,B7)</f>
        <v>Hello
World
One
Two</v>
      </c>
      <c r="D7" s="6" t="str">
        <f t="shared" ca="1" si="0"/>
        <v>=INDENT($B$2,B7)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FFC1-7EE4-48AE-ABCD-026CDC6A337F}">
  <sheetPr codeName="Sheet21"/>
  <dimension ref="A1:D2"/>
  <sheetViews>
    <sheetView workbookViewId="0">
      <selection sqref="A1:D1"/>
    </sheetView>
  </sheetViews>
  <sheetFormatPr defaultRowHeight="14.5" x14ac:dyDescent="0.35"/>
  <cols>
    <col min="2" max="2" width="10.26953125" customWidth="1"/>
    <col min="3" max="3" width="9.453125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ht="59.5" customHeight="1" x14ac:dyDescent="0.35">
      <c r="A2" s="6" t="s">
        <v>43</v>
      </c>
      <c r="B2" s="3" t="s">
        <v>42</v>
      </c>
      <c r="C2" s="3" t="str">
        <f>DEDENT(B2)</f>
        <v>Hello
World
One
Two</v>
      </c>
      <c r="D2" s="6" t="str">
        <f ca="1">_xlfn.FORMULATEXT(C2)</f>
        <v>=DEDENT(B2)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11067-0FF5-4259-A2E7-8CD05831B911}">
  <sheetPr codeName="Sheet24"/>
  <dimension ref="A1:D6"/>
  <sheetViews>
    <sheetView zoomScaleNormal="100" workbookViewId="0">
      <selection activeCell="A2" sqref="A2"/>
    </sheetView>
  </sheetViews>
  <sheetFormatPr defaultRowHeight="14.5" x14ac:dyDescent="0.35"/>
  <cols>
    <col min="2" max="3" width="24.8164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49</v>
      </c>
      <c r="B2" t="s">
        <v>46</v>
      </c>
      <c r="C2" t="str">
        <f>SHORTEN(B2,17)</f>
        <v>Hello World [...]</v>
      </c>
      <c r="D2" t="str">
        <f ca="1">_xlfn.FORMULATEXT(C2)</f>
        <v>=SHORTEN(B2,17)</v>
      </c>
    </row>
    <row r="3" spans="1:4" x14ac:dyDescent="0.35">
      <c r="B3" t="s">
        <v>46</v>
      </c>
      <c r="C3" t="str">
        <f>SHORTEN(B3,15)</f>
        <v>Hello [...]</v>
      </c>
      <c r="D3" t="str">
        <f t="shared" ref="D3:D6" ca="1" si="0">_xlfn.FORMULATEXT(C3)</f>
        <v>=SHORTEN(B3,15)</v>
      </c>
    </row>
    <row r="4" spans="1:4" x14ac:dyDescent="0.35">
      <c r="B4" t="s">
        <v>46</v>
      </c>
      <c r="C4" t="str">
        <f>SHORTEN(B4)</f>
        <v>Hello World One Two Three</v>
      </c>
      <c r="D4" t="str">
        <f t="shared" ca="1" si="0"/>
        <v>=SHORTEN(B4)</v>
      </c>
    </row>
    <row r="5" spans="1:4" x14ac:dyDescent="0.35">
      <c r="B5" t="s">
        <v>46</v>
      </c>
      <c r="C5" t="str">
        <f>SHORTEN(B5,15,"--&gt;")</f>
        <v>Hello World --&gt;</v>
      </c>
      <c r="D5" t="str">
        <f t="shared" ca="1" si="0"/>
        <v>=SHORTEN(B5,15,"--&gt;")</v>
      </c>
    </row>
    <row r="6" spans="1:4" x14ac:dyDescent="0.35">
      <c r="B6" t="s">
        <v>48</v>
      </c>
      <c r="C6" t="str">
        <f>SHORTEN(B6,15,"--&gt;","_")</f>
        <v>Hello_World_--&gt;</v>
      </c>
      <c r="D6" t="str">
        <f t="shared" ca="1" si="0"/>
        <v>=SHORTEN(B6,15,"--&gt;","_")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7DDAD-EDEF-4C90-9773-EA08C4AED5F3}">
  <sheetPr codeName="Sheet25"/>
  <dimension ref="A1:D4"/>
  <sheetViews>
    <sheetView workbookViewId="0"/>
  </sheetViews>
  <sheetFormatPr defaultRowHeight="14.5" x14ac:dyDescent="0.35"/>
  <cols>
    <col min="2" max="2" width="25.90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50</v>
      </c>
      <c r="B2" t="s">
        <v>46</v>
      </c>
      <c r="C2" t="b">
        <f>INSPLIT("Hello",B2)</f>
        <v>1</v>
      </c>
      <c r="D2" t="str">
        <f ca="1">_xlfn.FORMULATEXT(C2)</f>
        <v>=INSPLIT("Hello",B2)</v>
      </c>
    </row>
    <row r="3" spans="1:4" x14ac:dyDescent="0.35">
      <c r="B3" t="s">
        <v>46</v>
      </c>
      <c r="C3" t="b">
        <f>INSPLIT("NotInString",B3)</f>
        <v>0</v>
      </c>
      <c r="D3" t="str">
        <f ca="1">_xlfn.FORMULATEXT(C3)</f>
        <v>=INSPLIT("NotInString",B3)</v>
      </c>
    </row>
    <row r="4" spans="1:4" x14ac:dyDescent="0.35">
      <c r="B4" t="s">
        <v>47</v>
      </c>
      <c r="C4" t="b">
        <f>INSPLIT("World",B4,"-")</f>
        <v>1</v>
      </c>
      <c r="D4" t="str">
        <f ca="1">_xlfn.FORMULATEXT(C4)</f>
        <v>=INSPLIT("World",B4,"-")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1AEEE-0698-4947-A77D-A6B8DAE292C6}">
  <sheetPr codeName="Sheet26"/>
  <dimension ref="A1:D2"/>
  <sheetViews>
    <sheetView zoomScaleNormal="100" workbookViewId="0">
      <selection sqref="A1:D1"/>
    </sheetView>
  </sheetViews>
  <sheetFormatPr defaultRowHeight="14.5" x14ac:dyDescent="0.35"/>
  <cols>
    <col min="1" max="1" width="10.36328125" bestFit="1" customWidth="1"/>
    <col min="2" max="2" width="11" bestFit="1" customWidth="1"/>
    <col min="3" max="3" width="12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51</v>
      </c>
      <c r="B2" t="s">
        <v>4</v>
      </c>
      <c r="C2" t="str">
        <f>ELITE_CASE(B2)</f>
        <v>H3110 W0r1d</v>
      </c>
      <c r="D2" t="str">
        <f ca="1">_xlfn.FORMULATEXT(C2)</f>
        <v>=ELITE_CASE(B2)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1E57-262B-4A2C-907C-ECE9561DAA5D}">
  <sheetPr codeName="Sheet27"/>
  <dimension ref="A1:D2"/>
  <sheetViews>
    <sheetView workbookViewId="0">
      <selection sqref="A1:D1"/>
    </sheetView>
  </sheetViews>
  <sheetFormatPr defaultRowHeight="14.5" x14ac:dyDescent="0.35"/>
  <cols>
    <col min="1" max="1" width="15.08984375" bestFit="1" customWidth="1"/>
    <col min="2" max="2" width="11" bestFit="1" customWidth="1"/>
    <col min="3" max="3" width="13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52</v>
      </c>
      <c r="B2" t="s">
        <v>4</v>
      </c>
      <c r="C2" t="str">
        <f ca="1">SCRAMBLE_CASE(B2)</f>
        <v>hEllO WORld</v>
      </c>
      <c r="D2" t="str">
        <f ca="1">_xlfn.FORMULATEXT(C2)</f>
        <v>=SCRAMBLE_CASE(B2)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2F18E-C22E-44DA-8242-3B72F14FF359}">
  <sheetPr codeName="Sheet22"/>
  <dimension ref="A1:D13"/>
  <sheetViews>
    <sheetView workbookViewId="0"/>
  </sheetViews>
  <sheetFormatPr defaultRowHeight="14.5" x14ac:dyDescent="0.35"/>
  <cols>
    <col min="1" max="1" width="9.81640625" bestFit="1" customWidth="1"/>
    <col min="2" max="3" width="24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53</v>
      </c>
      <c r="B2" t="s">
        <v>46</v>
      </c>
    </row>
    <row r="3" spans="1:4" x14ac:dyDescent="0.35">
      <c r="B3">
        <v>1</v>
      </c>
      <c r="C3" t="str">
        <f t="shared" ref="C3:C10" si="0">LEFT_SPLIT($B$2,B3)</f>
        <v>Hello</v>
      </c>
      <c r="D3" t="str">
        <f t="shared" ref="D3:D10" ca="1" si="1">_xlfn.FORMULATEXT(C3)</f>
        <v>=LEFT_SPLIT($B$2,B3)</v>
      </c>
    </row>
    <row r="4" spans="1:4" x14ac:dyDescent="0.35">
      <c r="B4">
        <v>2</v>
      </c>
      <c r="C4" t="str">
        <f t="shared" si="0"/>
        <v>Hello World</v>
      </c>
      <c r="D4" t="str">
        <f t="shared" ca="1" si="1"/>
        <v>=LEFT_SPLIT($B$2,B4)</v>
      </c>
    </row>
    <row r="5" spans="1:4" x14ac:dyDescent="0.35">
      <c r="B5">
        <v>3</v>
      </c>
      <c r="C5" t="str">
        <f t="shared" si="0"/>
        <v>Hello World One</v>
      </c>
      <c r="D5" t="str">
        <f t="shared" ca="1" si="1"/>
        <v>=LEFT_SPLIT($B$2,B5)</v>
      </c>
    </row>
    <row r="6" spans="1:4" x14ac:dyDescent="0.35">
      <c r="B6">
        <v>4</v>
      </c>
      <c r="C6" t="str">
        <f t="shared" si="0"/>
        <v>Hello World One Two</v>
      </c>
      <c r="D6" t="str">
        <f t="shared" ca="1" si="1"/>
        <v>=LEFT_SPLIT($B$2,B6)</v>
      </c>
    </row>
    <row r="7" spans="1:4" x14ac:dyDescent="0.35">
      <c r="B7">
        <v>5</v>
      </c>
      <c r="C7" t="str">
        <f t="shared" si="0"/>
        <v>Hello World One Two Three</v>
      </c>
      <c r="D7" t="str">
        <f t="shared" ca="1" si="1"/>
        <v>=LEFT_SPLIT($B$2,B7)</v>
      </c>
    </row>
    <row r="8" spans="1:4" x14ac:dyDescent="0.35">
      <c r="B8">
        <v>6</v>
      </c>
      <c r="C8" t="str">
        <f t="shared" si="0"/>
        <v>Hello World One Two Three</v>
      </c>
      <c r="D8" t="str">
        <f t="shared" ca="1" si="1"/>
        <v>=LEFT_SPLIT($B$2,B8)</v>
      </c>
    </row>
    <row r="9" spans="1:4" x14ac:dyDescent="0.35">
      <c r="B9">
        <v>7</v>
      </c>
      <c r="C9" t="str">
        <f t="shared" si="0"/>
        <v>Hello World One Two Three</v>
      </c>
      <c r="D9" t="str">
        <f t="shared" ca="1" si="1"/>
        <v>=LEFT_SPLIT($B$2,B9)</v>
      </c>
    </row>
    <row r="10" spans="1:4" x14ac:dyDescent="0.35">
      <c r="B10">
        <v>8</v>
      </c>
      <c r="C10" t="str">
        <f t="shared" si="0"/>
        <v>Hello World One Two Three</v>
      </c>
      <c r="D10" t="str">
        <f t="shared" ca="1" si="1"/>
        <v>=LEFT_SPLIT($B$2,B10)</v>
      </c>
    </row>
    <row r="13" spans="1:4" x14ac:dyDescent="0.35">
      <c r="B13" t="s">
        <v>47</v>
      </c>
      <c r="C13" t="str">
        <f>LEFT_SPLIT(B13,3,"-")</f>
        <v>Hello-World-One</v>
      </c>
      <c r="D13" t="str">
        <f ca="1">_xlfn.FORMULATEXT(C13)</f>
        <v>=LEFT_SPLIT(B13,3,"-")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06619-7640-43CB-A397-B914134D3F07}">
  <sheetPr codeName="Sheet28"/>
  <dimension ref="A1:D13"/>
  <sheetViews>
    <sheetView workbookViewId="0">
      <selection sqref="A1:D1"/>
    </sheetView>
  </sheetViews>
  <sheetFormatPr defaultRowHeight="14.5" x14ac:dyDescent="0.35"/>
  <cols>
    <col min="1" max="1" width="11.26953125" bestFit="1" customWidth="1"/>
    <col min="2" max="2" width="24.90625" bestFit="1" customWidth="1"/>
    <col min="3" max="3" width="24.179687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54</v>
      </c>
      <c r="B2" t="s">
        <v>46</v>
      </c>
    </row>
    <row r="3" spans="1:4" x14ac:dyDescent="0.35">
      <c r="B3">
        <v>1</v>
      </c>
      <c r="C3" t="str">
        <f t="shared" ref="C3:C10" si="0">RIGHT_SPLIT($B$2,B3)</f>
        <v>Three</v>
      </c>
      <c r="D3" t="str">
        <f t="shared" ref="D3:D10" ca="1" si="1">_xlfn.FORMULATEXT(C3)</f>
        <v>=RIGHT_SPLIT($B$2,B3)</v>
      </c>
    </row>
    <row r="4" spans="1:4" x14ac:dyDescent="0.35">
      <c r="B4">
        <v>2</v>
      </c>
      <c r="C4" t="str">
        <f t="shared" si="0"/>
        <v>Two Three</v>
      </c>
      <c r="D4" t="str">
        <f t="shared" ca="1" si="1"/>
        <v>=RIGHT_SPLIT($B$2,B4)</v>
      </c>
    </row>
    <row r="5" spans="1:4" x14ac:dyDescent="0.35">
      <c r="B5">
        <v>3</v>
      </c>
      <c r="C5" t="str">
        <f t="shared" si="0"/>
        <v>One Two Three</v>
      </c>
      <c r="D5" t="str">
        <f t="shared" ca="1" si="1"/>
        <v>=RIGHT_SPLIT($B$2,B5)</v>
      </c>
    </row>
    <row r="6" spans="1:4" x14ac:dyDescent="0.35">
      <c r="B6">
        <v>4</v>
      </c>
      <c r="C6" t="str">
        <f t="shared" si="0"/>
        <v>World One Two Three</v>
      </c>
      <c r="D6" t="str">
        <f t="shared" ca="1" si="1"/>
        <v>=RIGHT_SPLIT($B$2,B6)</v>
      </c>
    </row>
    <row r="7" spans="1:4" x14ac:dyDescent="0.35">
      <c r="B7">
        <v>5</v>
      </c>
      <c r="C7" t="str">
        <f t="shared" si="0"/>
        <v>Hello World One Two Three</v>
      </c>
      <c r="D7" t="str">
        <f t="shared" ca="1" si="1"/>
        <v>=RIGHT_SPLIT($B$2,B7)</v>
      </c>
    </row>
    <row r="8" spans="1:4" x14ac:dyDescent="0.35">
      <c r="B8">
        <v>6</v>
      </c>
      <c r="C8" t="str">
        <f t="shared" si="0"/>
        <v>Hello World One Two Three</v>
      </c>
      <c r="D8" t="str">
        <f t="shared" ca="1" si="1"/>
        <v>=RIGHT_SPLIT($B$2,B8)</v>
      </c>
    </row>
    <row r="9" spans="1:4" x14ac:dyDescent="0.35">
      <c r="B9">
        <v>7</v>
      </c>
      <c r="C9" t="str">
        <f t="shared" si="0"/>
        <v>Hello World One Two Three</v>
      </c>
      <c r="D9" t="str">
        <f t="shared" ca="1" si="1"/>
        <v>=RIGHT_SPLIT($B$2,B9)</v>
      </c>
    </row>
    <row r="10" spans="1:4" x14ac:dyDescent="0.35">
      <c r="B10">
        <v>8</v>
      </c>
      <c r="C10" t="str">
        <f t="shared" si="0"/>
        <v>Hello World One Two Three</v>
      </c>
      <c r="D10" t="str">
        <f t="shared" ca="1" si="1"/>
        <v>=RIGHT_SPLIT($B$2,B10)</v>
      </c>
    </row>
    <row r="13" spans="1:4" x14ac:dyDescent="0.35">
      <c r="B13" t="s">
        <v>47</v>
      </c>
      <c r="C13" t="str">
        <f>RIGHT_SPLIT(B13,3,"-")</f>
        <v>One-Two-Three</v>
      </c>
      <c r="D13" t="str">
        <f ca="1">_xlfn.FORMULATEXT(C13)</f>
        <v>=RIGHT_SPLIT(B13,3,"-")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4203A-546C-4B4A-828A-1026DC67AEE0}">
  <sheetPr codeName="Sheet29"/>
  <dimension ref="A1:E6"/>
  <sheetViews>
    <sheetView workbookViewId="0"/>
  </sheetViews>
  <sheetFormatPr defaultRowHeight="14.5" x14ac:dyDescent="0.35"/>
  <cols>
    <col min="1" max="1" width="14.7265625" bestFit="1" customWidth="1"/>
    <col min="2" max="2" width="10.7265625" bestFit="1" customWidth="1"/>
    <col min="3" max="3" width="10.7265625" customWidth="1"/>
    <col min="4" max="4" width="13.6328125" bestFit="1" customWidth="1"/>
  </cols>
  <sheetData>
    <row r="1" spans="1:5" x14ac:dyDescent="0.35">
      <c r="A1" s="1" t="s">
        <v>0</v>
      </c>
      <c r="B1" s="9" t="s">
        <v>1</v>
      </c>
      <c r="C1" s="9"/>
      <c r="D1" s="1" t="s">
        <v>2</v>
      </c>
      <c r="E1" s="1" t="s">
        <v>27</v>
      </c>
    </row>
    <row r="2" spans="1:5" x14ac:dyDescent="0.35">
      <c r="A2" t="s">
        <v>60</v>
      </c>
      <c r="B2" t="s">
        <v>59</v>
      </c>
      <c r="D2" t="str">
        <f>SUBSTITUTE_ALL(B2,B4:B6,C4:C6)</f>
        <v>One Two Three</v>
      </c>
      <c r="E2" t="str">
        <f ca="1">_xlfn.FORMULATEXT(D2)</f>
        <v>=SUBSTITUTE_ALL(B2,B4:B6,C4:C6)</v>
      </c>
    </row>
    <row r="4" spans="1:5" x14ac:dyDescent="0.35">
      <c r="B4" t="s">
        <v>57</v>
      </c>
      <c r="C4" t="s">
        <v>55</v>
      </c>
    </row>
    <row r="5" spans="1:5" x14ac:dyDescent="0.35">
      <c r="B5" t="s">
        <v>12</v>
      </c>
      <c r="C5" t="s">
        <v>56</v>
      </c>
    </row>
    <row r="6" spans="1:5" x14ac:dyDescent="0.35">
      <c r="B6" t="s">
        <v>19</v>
      </c>
      <c r="C6" t="s">
        <v>58</v>
      </c>
    </row>
  </sheetData>
  <mergeCells count="1">
    <mergeCell ref="B1:C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F3F33-5163-45F0-ADB8-7BB09D819A7D}">
  <sheetPr codeName="Sheet31"/>
  <dimension ref="A1:D19"/>
  <sheetViews>
    <sheetView workbookViewId="0">
      <selection sqref="A1:D1"/>
    </sheetView>
  </sheetViews>
  <sheetFormatPr defaultRowHeight="14.5" x14ac:dyDescent="0.35"/>
  <cols>
    <col min="2" max="2" width="17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72</v>
      </c>
      <c r="B2" t="s">
        <v>73</v>
      </c>
      <c r="C2" t="b">
        <f>INSTRING(B2,"111","222","333")</f>
        <v>0</v>
      </c>
      <c r="D2" t="str">
        <f ca="1">_xlfn.FORMULATEXT(C2)</f>
        <v>=INSTRING(B2,"111","222","333")</v>
      </c>
    </row>
    <row r="3" spans="1:4" x14ac:dyDescent="0.35">
      <c r="B3" t="s">
        <v>74</v>
      </c>
      <c r="C3" t="b">
        <f t="shared" ref="C3:C19" si="0">INSTRING(B3,"111","222","333")</f>
        <v>1</v>
      </c>
      <c r="D3" t="str">
        <f t="shared" ref="D3:D19" ca="1" si="1">_xlfn.FORMULATEXT(C3)</f>
        <v>=INSTRING(B3,"111","222","333")</v>
      </c>
    </row>
    <row r="4" spans="1:4" x14ac:dyDescent="0.35">
      <c r="B4" t="s">
        <v>75</v>
      </c>
      <c r="C4" t="b">
        <f t="shared" si="0"/>
        <v>1</v>
      </c>
      <c r="D4" t="str">
        <f t="shared" ca="1" si="1"/>
        <v>=INSTRING(B4,"111","222","333")</v>
      </c>
    </row>
    <row r="5" spans="1:4" x14ac:dyDescent="0.35">
      <c r="B5" t="s">
        <v>76</v>
      </c>
      <c r="C5" t="b">
        <f t="shared" si="0"/>
        <v>1</v>
      </c>
      <c r="D5" t="str">
        <f t="shared" ca="1" si="1"/>
        <v>=INSTRING(B5,"111","222","333")</v>
      </c>
    </row>
    <row r="6" spans="1:4" x14ac:dyDescent="0.35">
      <c r="B6" t="s">
        <v>77</v>
      </c>
      <c r="C6" t="b">
        <f t="shared" si="0"/>
        <v>0</v>
      </c>
      <c r="D6" t="str">
        <f t="shared" ca="1" si="1"/>
        <v>=INSTRING(B6,"111","222","333")</v>
      </c>
    </row>
    <row r="7" spans="1:4" x14ac:dyDescent="0.35">
      <c r="B7" t="s">
        <v>78</v>
      </c>
      <c r="C7" t="b">
        <f t="shared" si="0"/>
        <v>1</v>
      </c>
      <c r="D7" t="str">
        <f t="shared" ca="1" si="1"/>
        <v>=INSTRING(B7,"111","222","333")</v>
      </c>
    </row>
    <row r="8" spans="1:4" x14ac:dyDescent="0.35">
      <c r="B8" t="s">
        <v>79</v>
      </c>
      <c r="C8" t="b">
        <f t="shared" si="0"/>
        <v>1</v>
      </c>
      <c r="D8" t="str">
        <f t="shared" ca="1" si="1"/>
        <v>=INSTRING(B8,"111","222","333")</v>
      </c>
    </row>
    <row r="9" spans="1:4" x14ac:dyDescent="0.35">
      <c r="B9" t="s">
        <v>80</v>
      </c>
      <c r="C9" t="b">
        <f t="shared" si="0"/>
        <v>0</v>
      </c>
      <c r="D9" t="str">
        <f t="shared" ca="1" si="1"/>
        <v>=INSTRING(B9,"111","222","333")</v>
      </c>
    </row>
    <row r="10" spans="1:4" x14ac:dyDescent="0.35">
      <c r="B10" t="s">
        <v>81</v>
      </c>
      <c r="C10" t="b">
        <f t="shared" si="0"/>
        <v>0</v>
      </c>
      <c r="D10" t="str">
        <f t="shared" ca="1" si="1"/>
        <v>=INSTRING(B10,"111","222","333")</v>
      </c>
    </row>
    <row r="11" spans="1:4" x14ac:dyDescent="0.35">
      <c r="B11" t="s">
        <v>82</v>
      </c>
      <c r="C11" t="b">
        <f t="shared" si="0"/>
        <v>0</v>
      </c>
      <c r="D11" t="str">
        <f t="shared" ca="1" si="1"/>
        <v>=INSTRING(B11,"111","222","333")</v>
      </c>
    </row>
    <row r="12" spans="1:4" x14ac:dyDescent="0.35">
      <c r="B12" t="s">
        <v>83</v>
      </c>
      <c r="C12" t="b">
        <f t="shared" si="0"/>
        <v>0</v>
      </c>
      <c r="D12" t="str">
        <f t="shared" ca="1" si="1"/>
        <v>=INSTRING(B12,"111","222","333")</v>
      </c>
    </row>
    <row r="13" spans="1:4" x14ac:dyDescent="0.35">
      <c r="B13" t="s">
        <v>84</v>
      </c>
      <c r="C13" t="b">
        <f t="shared" si="0"/>
        <v>1</v>
      </c>
      <c r="D13" t="str">
        <f t="shared" ca="1" si="1"/>
        <v>=INSTRING(B13,"111","222","333")</v>
      </c>
    </row>
    <row r="14" spans="1:4" x14ac:dyDescent="0.35">
      <c r="B14" t="s">
        <v>85</v>
      </c>
      <c r="C14" t="b">
        <f t="shared" si="0"/>
        <v>0</v>
      </c>
      <c r="D14" t="str">
        <f t="shared" ca="1" si="1"/>
        <v>=INSTRING(B14,"111","222","333")</v>
      </c>
    </row>
    <row r="15" spans="1:4" x14ac:dyDescent="0.35">
      <c r="B15" t="s">
        <v>86</v>
      </c>
      <c r="C15" t="b">
        <f t="shared" si="0"/>
        <v>0</v>
      </c>
      <c r="D15" t="str">
        <f t="shared" ca="1" si="1"/>
        <v>=INSTRING(B15,"111","222","333")</v>
      </c>
    </row>
    <row r="16" spans="1:4" x14ac:dyDescent="0.35">
      <c r="B16" t="s">
        <v>87</v>
      </c>
      <c r="C16" t="b">
        <f t="shared" si="0"/>
        <v>0</v>
      </c>
      <c r="D16" t="str">
        <f t="shared" ca="1" si="1"/>
        <v>=INSTRING(B16,"111","222","333")</v>
      </c>
    </row>
    <row r="17" spans="2:4" x14ac:dyDescent="0.35">
      <c r="B17" t="s">
        <v>88</v>
      </c>
      <c r="C17" t="b">
        <f t="shared" si="0"/>
        <v>0</v>
      </c>
      <c r="D17" t="str">
        <f t="shared" ca="1" si="1"/>
        <v>=INSTRING(B17,"111","222","333")</v>
      </c>
    </row>
    <row r="18" spans="2:4" x14ac:dyDescent="0.35">
      <c r="B18" t="s">
        <v>89</v>
      </c>
      <c r="C18" t="b">
        <f t="shared" si="0"/>
        <v>0</v>
      </c>
      <c r="D18" t="str">
        <f t="shared" ca="1" si="1"/>
        <v>=INSTRING(B18,"111","222","333")</v>
      </c>
    </row>
    <row r="19" spans="2:4" x14ac:dyDescent="0.35">
      <c r="B19" t="s">
        <v>90</v>
      </c>
      <c r="C19" t="b">
        <f t="shared" si="0"/>
        <v>1</v>
      </c>
      <c r="D19" t="str">
        <f t="shared" ca="1" si="1"/>
        <v>=INSTRING(B19,"111","222","333")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CDCA2-4403-44FF-A3AB-8B7EAB715480}">
  <sheetPr codeName="Sheet32"/>
  <dimension ref="A1:D5"/>
  <sheetViews>
    <sheetView workbookViewId="0">
      <selection activeCell="C5" sqref="C5"/>
    </sheetView>
  </sheetViews>
  <sheetFormatPr defaultRowHeight="14.5" x14ac:dyDescent="0.35"/>
  <cols>
    <col min="1" max="1" width="10.81640625" bestFit="1" customWidth="1"/>
    <col min="2" max="2" width="14.6328125" bestFit="1" customWidth="1"/>
    <col min="3" max="3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93</v>
      </c>
      <c r="B2" t="s">
        <v>91</v>
      </c>
      <c r="C2" t="str">
        <f>TRIM_CHAR(B2)</f>
        <v>Hello World</v>
      </c>
      <c r="D2" t="str">
        <f ca="1">_xlfn.FORMULATEXT(C2)</f>
        <v>=TRIM_CHAR(B2)</v>
      </c>
    </row>
    <row r="3" spans="1:4" x14ac:dyDescent="0.35">
      <c r="B3" s="8" t="s">
        <v>92</v>
      </c>
      <c r="C3" t="str">
        <f>TRIM_CHAR(B3, "-")</f>
        <v>Hello World</v>
      </c>
      <c r="D3" t="str">
        <f ca="1">_xlfn.FORMULATEXT(C3)</f>
        <v>=TRIM_CHAR(B3, "-")</v>
      </c>
    </row>
    <row r="4" spans="1:4" x14ac:dyDescent="0.35">
      <c r="B4" s="8"/>
    </row>
    <row r="5" spans="1:4" x14ac:dyDescent="0.35">
      <c r="B5" s="8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4D1AF-48AB-4DB2-8B5B-312BD3E78926}">
  <sheetPr codeName="Sheet33"/>
  <dimension ref="A1:D5"/>
  <sheetViews>
    <sheetView workbookViewId="0"/>
  </sheetViews>
  <sheetFormatPr defaultRowHeight="14.5" x14ac:dyDescent="0.35"/>
  <cols>
    <col min="1" max="1" width="10.81640625" bestFit="1" customWidth="1"/>
    <col min="2" max="2" width="14.6328125" bestFit="1" customWidth="1"/>
    <col min="3" max="3" width="12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94</v>
      </c>
      <c r="B2" t="s">
        <v>91</v>
      </c>
      <c r="C2" t="str">
        <f>TRIM_LEFT(B2)</f>
        <v xml:space="preserve">Hello World   </v>
      </c>
      <c r="D2" t="str">
        <f ca="1">_xlfn.FORMULATEXT(C2)</f>
        <v>=TRIM_LEFT(B2)</v>
      </c>
    </row>
    <row r="3" spans="1:4" x14ac:dyDescent="0.35">
      <c r="B3" s="8" t="s">
        <v>92</v>
      </c>
      <c r="C3" t="str">
        <f>TRIM_LEFT(B3, "-")</f>
        <v>Hello World---</v>
      </c>
      <c r="D3" t="str">
        <f ca="1">_xlfn.FORMULATEXT(C3)</f>
        <v>=TRIM_LEFT(B3, "-")</v>
      </c>
    </row>
    <row r="4" spans="1:4" x14ac:dyDescent="0.35">
      <c r="B4" s="8"/>
    </row>
    <row r="5" spans="1:4" x14ac:dyDescent="0.35">
      <c r="B5" s="8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77D81-DF8D-4A70-A5C1-ED0BF7A1E8F6}">
  <sheetPr codeName="Sheet34"/>
  <dimension ref="A1:D5"/>
  <sheetViews>
    <sheetView workbookViewId="0">
      <selection sqref="A1:D1"/>
    </sheetView>
  </sheetViews>
  <sheetFormatPr defaultRowHeight="14.5" x14ac:dyDescent="0.35"/>
  <cols>
    <col min="1" max="1" width="11.36328125" bestFit="1" customWidth="1"/>
    <col min="2" max="2" width="14.6328125" bestFit="1" customWidth="1"/>
    <col min="3" max="3" width="12.63281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95</v>
      </c>
      <c r="B2" t="s">
        <v>91</v>
      </c>
      <c r="C2" t="str">
        <f>TRIM_RIGHT(B2)</f>
        <v xml:space="preserve">   Hello World</v>
      </c>
      <c r="D2" t="str">
        <f ca="1">_xlfn.FORMULATEXT(C2)</f>
        <v>=TRIM_RIGHT(B2)</v>
      </c>
    </row>
    <row r="3" spans="1:4" x14ac:dyDescent="0.35">
      <c r="B3" s="8" t="s">
        <v>92</v>
      </c>
      <c r="C3" t="str">
        <f>TRIM_RIGHT(B3, "-")</f>
        <v>---Hello World</v>
      </c>
      <c r="D3" t="str">
        <f ca="1">_xlfn.FORMULATEXT(C3)</f>
        <v>=TRIM_RIGHT(B3, "-")</v>
      </c>
    </row>
    <row r="4" spans="1:4" x14ac:dyDescent="0.35">
      <c r="B4" s="8"/>
    </row>
    <row r="5" spans="1:4" x14ac:dyDescent="0.35">
      <c r="B5" s="8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EB389-D885-496E-802F-746182B824A1}">
  <sheetPr codeName="Sheet12"/>
  <dimension ref="A1:D2"/>
  <sheetViews>
    <sheetView workbookViewId="0">
      <selection sqref="A1:D2"/>
    </sheetView>
  </sheetViews>
  <sheetFormatPr defaultRowHeight="14.5" x14ac:dyDescent="0.35"/>
  <cols>
    <col min="1" max="1" width="29.72656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96</v>
      </c>
      <c r="B2" t="s">
        <v>4</v>
      </c>
      <c r="C2">
        <f>COUNT_UPPERCASE_CHARACTERS(B2)</f>
        <v>2</v>
      </c>
      <c r="D2" t="str">
        <f ca="1">_xlfn.FORMULATEXT(C2)</f>
        <v>=COUNT_UPPERCASE_CHARACTERS(B2)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07697-F8B2-45D4-8DF0-0D3FA6C9B613}">
  <sheetPr codeName="Sheet35"/>
  <dimension ref="A1:D2"/>
  <sheetViews>
    <sheetView tabSelected="1" workbookViewId="0"/>
  </sheetViews>
  <sheetFormatPr defaultRowHeight="14.5" x14ac:dyDescent="0.35"/>
  <cols>
    <col min="1" max="1" width="30.453125" bestFit="1" customWidth="1"/>
    <col min="2" max="2" width="10.7265625" bestFit="1" customWidth="1"/>
  </cols>
  <sheetData>
    <row r="1" spans="1:4" x14ac:dyDescent="0.35">
      <c r="A1" s="1" t="s">
        <v>0</v>
      </c>
      <c r="B1" s="1" t="s">
        <v>1</v>
      </c>
      <c r="C1" s="1" t="s">
        <v>2</v>
      </c>
      <c r="D1" s="1" t="s">
        <v>27</v>
      </c>
    </row>
    <row r="2" spans="1:4" x14ac:dyDescent="0.35">
      <c r="A2" t="s">
        <v>97</v>
      </c>
      <c r="B2" t="s">
        <v>4</v>
      </c>
      <c r="C2">
        <f>COUNT_LOWERCASE_CHARACTERS(B2)</f>
        <v>8</v>
      </c>
      <c r="D2" t="str">
        <f ca="1">_xlfn.FORMULATEXT(C2)</f>
        <v>=COUNT_LOWERCASE_CHARACTERS(B2)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StringManipulation</vt:lpstr>
      <vt:lpstr>CAPITALIZE</vt:lpstr>
      <vt:lpstr>LEFT_FIND</vt:lpstr>
      <vt:lpstr>RIGHT_FIND</vt:lpstr>
      <vt:lpstr>LEFT_SEARCH</vt:lpstr>
      <vt:lpstr>RIGHT_SEARCH</vt:lpstr>
      <vt:lpstr>SUBSTR</vt:lpstr>
      <vt:lpstr>SUBSTR_FIND</vt:lpstr>
      <vt:lpstr>SUBSTR_SEARCH</vt:lpstr>
      <vt:lpstr>REPEAT</vt:lpstr>
      <vt:lpstr>FORMATTER</vt:lpstr>
      <vt:lpstr>ZFILL</vt:lpstr>
      <vt:lpstr>SPLIT_TEXT</vt:lpstr>
      <vt:lpstr>COUNT_WORDS</vt:lpstr>
      <vt:lpstr>CAMEL_CASE</vt:lpstr>
      <vt:lpstr>KEBAB_CASE</vt:lpstr>
      <vt:lpstr>REMOVE_CHARACTERS</vt:lpstr>
      <vt:lpstr>COMPANY_CASE</vt:lpstr>
      <vt:lpstr>REVERSE_TEXT</vt:lpstr>
      <vt:lpstr>REVERSE_WORDS</vt:lpstr>
      <vt:lpstr>INDENT</vt:lpstr>
      <vt:lpstr>DEDENT</vt:lpstr>
      <vt:lpstr>SHORTEN</vt:lpstr>
      <vt:lpstr>INSPLIT</vt:lpstr>
      <vt:lpstr>ELITE_CASE</vt:lpstr>
      <vt:lpstr>SCRAMBLE_CASE</vt:lpstr>
      <vt:lpstr>LEFT_SPLIT</vt:lpstr>
      <vt:lpstr>RIGHT_SPLIT</vt:lpstr>
      <vt:lpstr>SUBSTITUTE_ALL</vt:lpstr>
      <vt:lpstr>INSTRING</vt:lpstr>
      <vt:lpstr>TRIM_CHAR</vt:lpstr>
      <vt:lpstr>TRIM_LEFT</vt:lpstr>
      <vt:lpstr>TRIM_RIGHT</vt:lpstr>
      <vt:lpstr>COUNT_UPPERCASE_CHARACTERS</vt:lpstr>
      <vt:lpstr>COUNT_LOWERCASE_CHARACTERS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root</cp:lastModifiedBy>
  <dcterms:created xsi:type="dcterms:W3CDTF">2020-01-15T00:02:12Z</dcterms:created>
  <dcterms:modified xsi:type="dcterms:W3CDTF">2020-02-18T18:36:45Z</dcterms:modified>
</cp:coreProperties>
</file>