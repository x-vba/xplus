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+\XPlus\Library\xpColor\"/>
    </mc:Choice>
  </mc:AlternateContent>
  <xr:revisionPtr revIDLastSave="0" documentId="13_ncr:1_{98B1BC74-2C21-4806-B404-93E78A5EC7DF}" xr6:coauthVersionLast="45" xr6:coauthVersionMax="45" xr10:uidLastSave="{00000000-0000-0000-0000-000000000000}"/>
  <bookViews>
    <workbookView xWindow="-110" yWindow="-110" windowWidth="19420" windowHeight="10420" xr2:uid="{5CC56CF4-8FB4-481D-A23D-93BBD5B8E2DA}"/>
  </bookViews>
  <sheets>
    <sheet name="Color" sheetId="2" r:id="rId1"/>
    <sheet name="RGB2HEX" sheetId="16" r:id="rId2"/>
    <sheet name="HEX2RGB" sheetId="15" r:id="rId3"/>
    <sheet name="RGB2HSL" sheetId="14" r:id="rId4"/>
    <sheet name="HEX2HSL" sheetId="13" r:id="rId5"/>
    <sheet name="HSL2RGB" sheetId="12" r:id="rId6"/>
    <sheet name="HSL2HEX" sheetId="11" r:id="rId7"/>
    <sheet name="RGB2HSV" sheetId="10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10" l="1"/>
  <c r="C6" i="10"/>
  <c r="C6" i="12"/>
  <c r="C7" i="12"/>
  <c r="C5" i="14"/>
  <c r="C10" i="14"/>
  <c r="C8" i="12"/>
  <c r="C9" i="14"/>
  <c r="C8" i="10"/>
  <c r="C28" i="2"/>
  <c r="C26" i="2"/>
  <c r="C34" i="2"/>
  <c r="C16" i="2"/>
  <c r="C5" i="2"/>
  <c r="C12" i="2"/>
  <c r="C20" i="2"/>
  <c r="C18" i="2"/>
  <c r="C35" i="2"/>
  <c r="C29" i="2"/>
  <c r="C32" i="2"/>
  <c r="C21" i="2"/>
  <c r="C10" i="2"/>
  <c r="C6" i="2"/>
  <c r="C7" i="2"/>
  <c r="C11" i="2"/>
  <c r="C24" i="2"/>
  <c r="C38" i="2"/>
  <c r="C36" i="2"/>
  <c r="C27" i="2"/>
  <c r="C23" i="2"/>
  <c r="C25" i="2"/>
  <c r="C17" i="2"/>
  <c r="C8" i="2"/>
  <c r="C15" i="2"/>
  <c r="C9" i="2"/>
  <c r="C2" i="2"/>
  <c r="C22" i="2"/>
  <c r="C37" i="2"/>
  <c r="C19" i="2"/>
  <c r="C33" i="2"/>
  <c r="C5" i="10"/>
  <c r="C4" i="10"/>
  <c r="C3" i="10"/>
  <c r="C2" i="10"/>
  <c r="C2" i="11"/>
  <c r="C5" i="12"/>
  <c r="C4" i="12"/>
  <c r="C3" i="12"/>
  <c r="C2" i="12"/>
  <c r="C2" i="13"/>
  <c r="C8" i="14"/>
  <c r="C7" i="14"/>
  <c r="C6" i="14"/>
  <c r="C2" i="14"/>
  <c r="C8" i="15"/>
  <c r="C7" i="15"/>
  <c r="C6" i="15"/>
  <c r="C5" i="15"/>
  <c r="C4" i="15"/>
  <c r="C3" i="15"/>
  <c r="C2" i="15"/>
  <c r="C2" i="16"/>
  <c r="D4" i="15"/>
  <c r="D7" i="12"/>
  <c r="D9" i="14"/>
  <c r="D7" i="10"/>
  <c r="D2" i="12"/>
  <c r="D11" i="2"/>
  <c r="D38" i="2"/>
  <c r="D5" i="2"/>
  <c r="D7" i="15"/>
  <c r="D9" i="2"/>
  <c r="D8" i="14"/>
  <c r="D32" i="2"/>
  <c r="D16" i="2"/>
  <c r="D33" i="2"/>
  <c r="D15" i="2"/>
  <c r="D5" i="10"/>
  <c r="D29" i="2"/>
  <c r="D4" i="12"/>
  <c r="D35" i="2"/>
  <c r="D26" i="2"/>
  <c r="D19" i="2"/>
  <c r="D21" i="2"/>
  <c r="D6" i="12"/>
  <c r="D36" i="2"/>
  <c r="D18" i="2"/>
  <c r="D2" i="10"/>
  <c r="D6" i="15"/>
  <c r="D8" i="12"/>
  <c r="D2" i="11"/>
  <c r="D3" i="15"/>
  <c r="D8" i="10"/>
  <c r="D5" i="14"/>
  <c r="D2" i="14"/>
  <c r="D10" i="14"/>
  <c r="D17" i="2"/>
  <c r="D6" i="10"/>
  <c r="D8" i="15"/>
  <c r="D5" i="12"/>
  <c r="D5" i="15"/>
  <c r="D28" i="2"/>
  <c r="D10" i="2"/>
  <c r="D22" i="2"/>
  <c r="D2" i="13"/>
  <c r="D2" i="2"/>
  <c r="D6" i="14"/>
  <c r="D37" i="2"/>
  <c r="D2" i="16"/>
  <c r="D24" i="2"/>
  <c r="D8" i="2"/>
  <c r="D7" i="14"/>
  <c r="D3" i="10"/>
  <c r="D3" i="12"/>
  <c r="D23" i="2"/>
  <c r="D25" i="2"/>
  <c r="D6" i="2"/>
  <c r="D7" i="2"/>
  <c r="D2" i="15"/>
  <c r="D4" i="10"/>
  <c r="D12" i="2"/>
  <c r="D20" i="2"/>
  <c r="D27" i="2"/>
  <c r="D34" i="2"/>
</calcChain>
</file>

<file path=xl/sharedStrings.xml><?xml version="1.0" encoding="utf-8"?>
<sst xmlns="http://schemas.openxmlformats.org/spreadsheetml/2006/main" count="62" uniqueCount="13">
  <si>
    <t>Function</t>
  </si>
  <si>
    <t>Input</t>
  </si>
  <si>
    <t>Output</t>
  </si>
  <si>
    <t>RGB2HEX</t>
  </si>
  <si>
    <t>HEX2RGB</t>
  </si>
  <si>
    <t>0840FF</t>
  </si>
  <si>
    <t>RGB2HSL</t>
  </si>
  <si>
    <t>HEX2HSL</t>
  </si>
  <si>
    <t>#084080</t>
  </si>
  <si>
    <t>HSL2RGB</t>
  </si>
  <si>
    <t>HSL2HEX</t>
  </si>
  <si>
    <t>RGB2HSV</t>
  </si>
  <si>
    <t>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</si>
</sst>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1B144-5D73-4BA3-9BC0-7F4BE8024080}">
  <sheetPr codeName="Sheet11"/>
  <dimension ref="A1:F39"/>
  <sheetViews>
    <sheetView tabSelected="1" workbookViewId="0"/>
  </sheetViews>
  <sheetFormatPr defaultRowHeight="14.5" x14ac:dyDescent="0.35"/>
  <cols>
    <col min="3" max="3" width="8.7265625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3</v>
      </c>
      <c r="B2">
        <v>8</v>
      </c>
      <c r="C2" t="str">
        <f>RGB2HEX(B2,B3,B4)</f>
        <v>0840FF</v>
      </c>
      <c r="D2" t="str">
        <f ca="1">_xlfn.FORMULATEXT(C2)</f>
        <v>=RGB2HEX(B2,B3,B4)</v>
      </c>
    </row>
    <row r="3" spans="1:4" x14ac:dyDescent="0.35">
      <c r="B3">
        <v>64</v>
      </c>
    </row>
    <row r="4" spans="1:4" x14ac:dyDescent="0.35">
      <c r="B4">
        <v>255</v>
      </c>
    </row>
    <row r="5" spans="1:4" x14ac:dyDescent="0.35">
      <c r="A5" t="s">
        <v>4</v>
      </c>
      <c r="B5" t="s">
        <v>5</v>
      </c>
      <c r="C5" t="str">
        <f>HEX2RGB(B5)</f>
        <v>(8, 64, 255)</v>
      </c>
      <c r="D5" t="str">
        <f t="shared" ref="D5:D12" ca="1" si="0">_xlfn.FORMULATEXT(C5)</f>
        <v>=HEX2RGB(B5)</v>
      </c>
    </row>
    <row r="6" spans="1:4" x14ac:dyDescent="0.35">
      <c r="B6" t="s">
        <v>5</v>
      </c>
      <c r="C6" t="str">
        <f>HEX2RGB(B6, 0)</f>
        <v>8</v>
      </c>
      <c r="D6" t="str">
        <f t="shared" ca="1" si="0"/>
        <v>=HEX2RGB(B6, 0)</v>
      </c>
    </row>
    <row r="7" spans="1:4" x14ac:dyDescent="0.35">
      <c r="B7" t="s">
        <v>5</v>
      </c>
      <c r="C7" t="str">
        <f>HEX2RGB(B7, 1)</f>
        <v>64</v>
      </c>
      <c r="D7" t="str">
        <f t="shared" ca="1" si="0"/>
        <v>=HEX2RGB(B7, 1)</v>
      </c>
    </row>
    <row r="8" spans="1:4" x14ac:dyDescent="0.35">
      <c r="B8" t="s">
        <v>5</v>
      </c>
      <c r="C8" t="str">
        <f>HEX2RGB(B8, 2)</f>
        <v>255</v>
      </c>
      <c r="D8" t="str">
        <f t="shared" ca="1" si="0"/>
        <v>=HEX2RGB(B8, 2)</v>
      </c>
    </row>
    <row r="9" spans="1:4" x14ac:dyDescent="0.35">
      <c r="B9" t="s">
        <v>5</v>
      </c>
      <c r="C9" t="str">
        <f>HEX2RGB(B9, "Red")</f>
        <v>8</v>
      </c>
      <c r="D9" t="str">
        <f t="shared" ca="1" si="0"/>
        <v>=HEX2RGB(B9, "Red")</v>
      </c>
    </row>
    <row r="10" spans="1:4" x14ac:dyDescent="0.35">
      <c r="B10" t="s">
        <v>5</v>
      </c>
      <c r="C10" t="str">
        <f>HEX2RGB(B10, "Green")</f>
        <v>64</v>
      </c>
      <c r="D10" t="str">
        <f t="shared" ca="1" si="0"/>
        <v>=HEX2RGB(B10, "Green")</v>
      </c>
    </row>
    <row r="11" spans="1:4" x14ac:dyDescent="0.35">
      <c r="B11" t="s">
        <v>5</v>
      </c>
      <c r="C11" t="str">
        <f>HEX2RGB(B11, "Blue")</f>
        <v>255</v>
      </c>
      <c r="D11" t="str">
        <f t="shared" ca="1" si="0"/>
        <v>=HEX2RGB(B11, "Blue")</v>
      </c>
    </row>
    <row r="12" spans="1:4" x14ac:dyDescent="0.35">
      <c r="A12" t="s">
        <v>6</v>
      </c>
      <c r="B12">
        <v>8</v>
      </c>
      <c r="C12" t="str">
        <f>RGB2HSL(B12,B13,B14)</f>
        <v>(212.0, 88.2%, 26.7%)</v>
      </c>
      <c r="D12" t="str">
        <f t="shared" ca="1" si="0"/>
        <v>=RGB2HSL(B12,B13,B14)</v>
      </c>
    </row>
    <row r="13" spans="1:4" x14ac:dyDescent="0.35">
      <c r="B13">
        <v>64</v>
      </c>
    </row>
    <row r="14" spans="1:4" x14ac:dyDescent="0.35">
      <c r="B14">
        <v>128</v>
      </c>
    </row>
    <row r="15" spans="1:4" x14ac:dyDescent="0.35">
      <c r="C15">
        <f>RGB2HSL($B$12,$B$13,$B$14, 0)</f>
        <v>212</v>
      </c>
      <c r="D15" t="str">
        <f t="shared" ref="D15:D29" ca="1" si="1">_xlfn.FORMULATEXT(C15)</f>
        <v>=RGB2HSL($B$12,$B$13,$B$14, 0)</v>
      </c>
    </row>
    <row r="16" spans="1:4" x14ac:dyDescent="0.35">
      <c r="C16">
        <f>RGB2HSL($B$12,$B$13,$B$14, 1)</f>
        <v>0.88235294117647056</v>
      </c>
      <c r="D16" t="str">
        <f t="shared" ca="1" si="1"/>
        <v>=RGB2HSL($B$12,$B$13,$B$14, 1)</v>
      </c>
    </row>
    <row r="17" spans="1:4" x14ac:dyDescent="0.35">
      <c r="C17">
        <f>RGB2HSL($B$12,$B$13,$B$14, 2)</f>
        <v>0.26666666666666666</v>
      </c>
      <c r="D17" t="str">
        <f t="shared" ca="1" si="1"/>
        <v>=RGB2HSL($B$12,$B$13,$B$14, 2)</v>
      </c>
    </row>
    <row r="18" spans="1:4" x14ac:dyDescent="0.35">
      <c r="C18">
        <f>RGB2HSL($B$12,$B$13,$B$14, "Hue")</f>
        <v>212</v>
      </c>
      <c r="D18" t="str">
        <f t="shared" ca="1" si="1"/>
        <v>=RGB2HSL($B$12,$B$13,$B$14, "Hue")</v>
      </c>
    </row>
    <row r="19" spans="1:4" x14ac:dyDescent="0.35">
      <c r="C19">
        <f>RGB2HSL($B$12,$B$13,$B$14, "Saturation")</f>
        <v>0.88235294117647056</v>
      </c>
      <c r="D19" t="str">
        <f t="shared" ca="1" si="1"/>
        <v>=RGB2HSL($B$12,$B$13,$B$14, "Saturation")</v>
      </c>
    </row>
    <row r="20" spans="1:4" x14ac:dyDescent="0.35">
      <c r="C20">
        <f>RGB2HSL($B$12,$B$13,$B$14, "Lightness")</f>
        <v>0.26666666666666666</v>
      </c>
      <c r="D20" t="str">
        <f t="shared" ca="1" si="1"/>
        <v>=RGB2HSL($B$12,$B$13,$B$14, "Lightness")</v>
      </c>
    </row>
    <row r="21" spans="1:4" x14ac:dyDescent="0.35">
      <c r="A21" t="s">
        <v>7</v>
      </c>
      <c r="B21" t="s">
        <v>8</v>
      </c>
      <c r="C21" t="str">
        <f>HEX2HSL(B21)</f>
        <v>(212.0, 88.2%, 26.7%)</v>
      </c>
      <c r="D21" t="str">
        <f t="shared" ca="1" si="1"/>
        <v>=HEX2HSL(B21)</v>
      </c>
    </row>
    <row r="22" spans="1:4" x14ac:dyDescent="0.35">
      <c r="A22" t="s">
        <v>9</v>
      </c>
      <c r="B22">
        <v>212</v>
      </c>
      <c r="C22" t="str">
        <f>HSL2RGB($B$22,$B$23,$B$24)</f>
        <v>(8, 64, 128)</v>
      </c>
      <c r="D22" t="str">
        <f t="shared" ca="1" si="1"/>
        <v>=HSL2RGB($B$22,$B$23,$B$24)</v>
      </c>
    </row>
    <row r="23" spans="1:4" x14ac:dyDescent="0.35">
      <c r="B23">
        <v>0.88200000000000001</v>
      </c>
      <c r="C23">
        <f>HSL2RGB($B$22,$B$23,$B$24,0)</f>
        <v>8</v>
      </c>
      <c r="D23" t="str">
        <f t="shared" ca="1" si="1"/>
        <v>=HSL2RGB($B$22,$B$23,$B$24,0)</v>
      </c>
    </row>
    <row r="24" spans="1:4" x14ac:dyDescent="0.35">
      <c r="B24">
        <v>0.26700000000000002</v>
      </c>
      <c r="C24">
        <f>HSL2RGB($B$22,$B$23,$B$24,1)</f>
        <v>64</v>
      </c>
      <c r="D24" t="str">
        <f t="shared" ca="1" si="1"/>
        <v>=HSL2RGB($B$22,$B$23,$B$24,1)</v>
      </c>
    </row>
    <row r="25" spans="1:4" x14ac:dyDescent="0.35">
      <c r="C25">
        <f>HSL2RGB($B$22,$B$23,$B$24,2)</f>
        <v>128</v>
      </c>
      <c r="D25" t="str">
        <f t="shared" ca="1" si="1"/>
        <v>=HSL2RGB($B$22,$B$23,$B$24,2)</v>
      </c>
    </row>
    <row r="26" spans="1:4" x14ac:dyDescent="0.35">
      <c r="C26">
        <f>HSL2RGB($B$22,$B$23,$B$24,"Red")</f>
        <v>8</v>
      </c>
      <c r="D26" t="str">
        <f t="shared" ca="1" si="1"/>
        <v>=HSL2RGB($B$22,$B$23,$B$24,"Red")</v>
      </c>
    </row>
    <row r="27" spans="1:4" x14ac:dyDescent="0.35">
      <c r="C27">
        <f>HSL2RGB($B$22,$B$23,$B$24,"Green")</f>
        <v>64</v>
      </c>
      <c r="D27" t="str">
        <f t="shared" ca="1" si="1"/>
        <v>=HSL2RGB($B$22,$B$23,$B$24,"Green")</v>
      </c>
    </row>
    <row r="28" spans="1:4" x14ac:dyDescent="0.35">
      <c r="C28">
        <f>HSL2RGB($B$22,$B$23,$B$24,"Blue")</f>
        <v>128</v>
      </c>
      <c r="D28" t="str">
        <f t="shared" ca="1" si="1"/>
        <v>=HSL2RGB($B$22,$B$23,$B$24,"Blue")</v>
      </c>
    </row>
    <row r="29" spans="1:4" x14ac:dyDescent="0.35">
      <c r="A29" t="s">
        <v>10</v>
      </c>
      <c r="B29">
        <v>212</v>
      </c>
      <c r="C29" t="str">
        <f>HSL2HEX(B29,B30,B31)</f>
        <v>084080</v>
      </c>
      <c r="D29" t="str">
        <f t="shared" ca="1" si="1"/>
        <v>=HSL2HEX(B29,B30,B31)</v>
      </c>
    </row>
    <row r="30" spans="1:4" x14ac:dyDescent="0.35">
      <c r="B30">
        <v>0.88200000000000001</v>
      </c>
    </row>
    <row r="31" spans="1:4" x14ac:dyDescent="0.35">
      <c r="B31">
        <v>0.26700000000000002</v>
      </c>
    </row>
    <row r="32" spans="1:4" x14ac:dyDescent="0.35">
      <c r="A32" t="s">
        <v>11</v>
      </c>
      <c r="B32">
        <v>8</v>
      </c>
      <c r="C32" t="str">
        <f>RGB2HSV($B$32,$B$33,$B$34)</f>
        <v>(212.0, 93.8%, 50.2%)</v>
      </c>
      <c r="D32" t="str">
        <f ca="1">_xlfn.FORMULATEXT(C32)</f>
        <v>=RGB2HSV($B$32,$B$33,$B$34)</v>
      </c>
    </row>
    <row r="33" spans="2:6" x14ac:dyDescent="0.35">
      <c r="B33">
        <v>64</v>
      </c>
      <c r="C33">
        <f>RGB2HSV($B$32,$B$33,$B$34,0)</f>
        <v>212</v>
      </c>
      <c r="D33" t="str">
        <f ca="1">_xlfn.FORMULATEXT(C33)</f>
        <v>=RGB2HSV($B$32,$B$33,$B$34,0)</v>
      </c>
    </row>
    <row r="34" spans="2:6" x14ac:dyDescent="0.35">
      <c r="B34">
        <v>128</v>
      </c>
      <c r="C34">
        <f>RGB2HSV($B$32,$B$33,$B$34,1)</f>
        <v>0.9375</v>
      </c>
      <c r="D34" t="str">
        <f ca="1">_xlfn.FORMULATEXT(C34)</f>
        <v>=RGB2HSV($B$32,$B$33,$B$34,1)</v>
      </c>
    </row>
    <row r="35" spans="2:6" x14ac:dyDescent="0.35">
      <c r="C35">
        <f>RGB2HSV($B$32,$B$33,$B$34,2)</f>
        <v>0.50196078431372548</v>
      </c>
      <c r="D35" t="str">
        <f ca="1">_xlfn.FORMULATEXT(C35)</f>
        <v>=RGB2HSV($B$32,$B$33,$B$34,2)</v>
      </c>
    </row>
    <row r="36" spans="2:6" x14ac:dyDescent="0.35">
      <c r="C36">
        <f>RGB2HSV($B$32,$B$33,$B$34,"Hue")</f>
        <v>212</v>
      </c>
      <c r="D36" t="str">
        <f t="shared" ref="D36:D38" ca="1" si="2">_xlfn.FORMULATEXT(C36)</f>
        <v>=RGB2HSV($B$32,$B$33,$B$34,"Hue")</v>
      </c>
    </row>
    <row r="37" spans="2:6" x14ac:dyDescent="0.35">
      <c r="C37">
        <f>RGB2HSV($B$32,$B$33,$B$34,"Saturation")</f>
        <v>0.9375</v>
      </c>
      <c r="D37" t="str">
        <f t="shared" ca="1" si="2"/>
        <v>=RGB2HSV($B$32,$B$33,$B$34,"Saturation")</v>
      </c>
    </row>
    <row r="38" spans="2:6" x14ac:dyDescent="0.35">
      <c r="C38">
        <f>RGB2HSV($B$32,$B$33,$B$34,"Value")</f>
        <v>0.50196078431372548</v>
      </c>
      <c r="D38" t="str">
        <f t="shared" ca="1" si="2"/>
        <v>=RGB2HSV($B$32,$B$33,$B$34,"Value")</v>
      </c>
    </row>
    <row r="39" spans="2:6" x14ac:dyDescent="0.35">
      <c r="D39" s="1"/>
      <c r="E39" s="1"/>
      <c r="F39" s="1"/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AD381-4702-4BBD-A0BA-EBF4A72E8739}">
  <sheetPr codeName="Sheet12"/>
  <dimension ref="A1:D4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3</v>
      </c>
      <c r="B2">
        <v>8</v>
      </c>
      <c r="C2" t="str">
        <f>RGB2HEX(B2,B3,B4)</f>
        <v>0840FF</v>
      </c>
      <c r="D2" t="str">
        <f t="shared" ref="D2" ca="1" si="0">_xlfn.FORMULATEXT(C2)</f>
        <v>=RGB2HEX(B2,B3,B4)</v>
      </c>
    </row>
    <row r="3" spans="1:4" x14ac:dyDescent="0.35">
      <c r="B3">
        <v>64</v>
      </c>
    </row>
    <row r="4" spans="1:4" x14ac:dyDescent="0.35">
      <c r="B4">
        <v>255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1DBF0-6279-4D60-80AD-7695C29602CC}">
  <sheetPr codeName="Sheet13"/>
  <dimension ref="A1:D8"/>
  <sheetViews>
    <sheetView workbookViewId="0"/>
  </sheetViews>
  <sheetFormatPr defaultRowHeight="14.5" x14ac:dyDescent="0.35"/>
  <cols>
    <col min="3" max="3" width="9.9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4</v>
      </c>
      <c r="B2" t="s">
        <v>5</v>
      </c>
      <c r="C2" t="str">
        <f>HEX2RGB(B2)</f>
        <v>(8, 64, 255)</v>
      </c>
      <c r="D2" t="str">
        <f t="shared" ref="D2:D8" ca="1" si="0">_xlfn.FORMULATEXT(C2)</f>
        <v>=HEX2RGB(B2)</v>
      </c>
    </row>
    <row r="3" spans="1:4" x14ac:dyDescent="0.35">
      <c r="B3" t="s">
        <v>5</v>
      </c>
      <c r="C3" t="str">
        <f>HEX2RGB(B3, 0)</f>
        <v>8</v>
      </c>
      <c r="D3" t="str">
        <f t="shared" ca="1" si="0"/>
        <v>=HEX2RGB(B3, 0)</v>
      </c>
    </row>
    <row r="4" spans="1:4" x14ac:dyDescent="0.35">
      <c r="B4" t="s">
        <v>5</v>
      </c>
      <c r="C4" t="str">
        <f>HEX2RGB(B4, 1)</f>
        <v>64</v>
      </c>
      <c r="D4" t="str">
        <f t="shared" ca="1" si="0"/>
        <v>=HEX2RGB(B4, 1)</v>
      </c>
    </row>
    <row r="5" spans="1:4" x14ac:dyDescent="0.35">
      <c r="B5" t="s">
        <v>5</v>
      </c>
      <c r="C5" t="str">
        <f>HEX2RGB(B5, 2)</f>
        <v>255</v>
      </c>
      <c r="D5" t="str">
        <f t="shared" ca="1" si="0"/>
        <v>=HEX2RGB(B5, 2)</v>
      </c>
    </row>
    <row r="6" spans="1:4" x14ac:dyDescent="0.35">
      <c r="B6" t="s">
        <v>5</v>
      </c>
      <c r="C6" t="str">
        <f>HEX2RGB(B6, "Red")</f>
        <v>8</v>
      </c>
      <c r="D6" t="str">
        <f t="shared" ca="1" si="0"/>
        <v>=HEX2RGB(B6, "Red")</v>
      </c>
    </row>
    <row r="7" spans="1:4" x14ac:dyDescent="0.35">
      <c r="B7" t="s">
        <v>5</v>
      </c>
      <c r="C7" t="str">
        <f>HEX2RGB(B7, "Green")</f>
        <v>64</v>
      </c>
      <c r="D7" t="str">
        <f t="shared" ca="1" si="0"/>
        <v>=HEX2RGB(B7, "Green")</v>
      </c>
    </row>
    <row r="8" spans="1:4" x14ac:dyDescent="0.35">
      <c r="B8" t="s">
        <v>5</v>
      </c>
      <c r="C8" t="str">
        <f>HEX2RGB(B8, "Blue")</f>
        <v>255</v>
      </c>
      <c r="D8" t="str">
        <f t="shared" ca="1" si="0"/>
        <v>=HEX2RGB(B8, "Blue")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D970-028C-4D0D-A984-70561139FA5C}">
  <sheetPr codeName="Sheet14"/>
  <dimension ref="A1:D10"/>
  <sheetViews>
    <sheetView workbookViewId="0"/>
  </sheetViews>
  <sheetFormatPr defaultRowHeight="14.5" x14ac:dyDescent="0.35"/>
  <cols>
    <col min="3" max="3" width="18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6</v>
      </c>
      <c r="B2">
        <v>8</v>
      </c>
      <c r="C2" t="str">
        <f>RGB2HSL(B2,B3,B4)</f>
        <v>(212.0, 88.2%, 26.7%)</v>
      </c>
      <c r="D2" t="str">
        <f t="shared" ref="D2:D10" ca="1" si="0">_xlfn.FORMULATEXT(C2)</f>
        <v>=RGB2HSL(B2,B3,B4)</v>
      </c>
    </row>
    <row r="3" spans="1:4" x14ac:dyDescent="0.35">
      <c r="B3">
        <v>64</v>
      </c>
    </row>
    <row r="4" spans="1:4" x14ac:dyDescent="0.35">
      <c r="B4">
        <v>128</v>
      </c>
    </row>
    <row r="5" spans="1:4" x14ac:dyDescent="0.35">
      <c r="C5">
        <f>RGB2HSL(B2,B3,B4, 0)</f>
        <v>212</v>
      </c>
      <c r="D5" t="str">
        <f t="shared" ca="1" si="0"/>
        <v>=RGB2HSL(B2,B3,B4, 0)</v>
      </c>
    </row>
    <row r="6" spans="1:4" x14ac:dyDescent="0.35">
      <c r="C6">
        <f>RGB2HSL(B2,B3,B4, 1)</f>
        <v>0.88235294117647056</v>
      </c>
      <c r="D6" t="str">
        <f t="shared" ca="1" si="0"/>
        <v>=RGB2HSL(B2,B3,B4, 1)</v>
      </c>
    </row>
    <row r="7" spans="1:4" x14ac:dyDescent="0.35">
      <c r="C7">
        <f>RGB2HSL(B2,B3,B4, 2)</f>
        <v>0.26666666666666666</v>
      </c>
      <c r="D7" t="str">
        <f t="shared" ca="1" si="0"/>
        <v>=RGB2HSL(B2,B3,B4, 2)</v>
      </c>
    </row>
    <row r="8" spans="1:4" x14ac:dyDescent="0.35">
      <c r="C8">
        <f>RGB2HSL(B2,B3,B4, "Hue")</f>
        <v>212</v>
      </c>
      <c r="D8" t="str">
        <f t="shared" ca="1" si="0"/>
        <v>=RGB2HSL(B2,B3,B4, "Hue")</v>
      </c>
    </row>
    <row r="9" spans="1:4" x14ac:dyDescent="0.35">
      <c r="C9">
        <f>RGB2HSL(B2,B3,B4, "Saturation")</f>
        <v>0.88235294117647056</v>
      </c>
      <c r="D9" t="str">
        <f t="shared" ca="1" si="0"/>
        <v>=RGB2HSL(B2,B3,B4, "Saturation")</v>
      </c>
    </row>
    <row r="10" spans="1:4" x14ac:dyDescent="0.35">
      <c r="C10">
        <f>RGB2HSL(B2,B3,B4, "Lightness")</f>
        <v>0.26666666666666666</v>
      </c>
      <c r="D10" t="str">
        <f t="shared" ca="1" si="0"/>
        <v>=RGB2HSL(B2,B3,B4, "Lightness")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C85C2-8D2D-44BE-9421-7C4E83E97AF2}">
  <sheetPr codeName="Sheet15"/>
  <dimension ref="A1:D2"/>
  <sheetViews>
    <sheetView workbookViewId="0"/>
  </sheetViews>
  <sheetFormatPr defaultRowHeight="14.5" x14ac:dyDescent="0.35"/>
  <cols>
    <col min="3" max="3" width="18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7</v>
      </c>
      <c r="B2" t="s">
        <v>8</v>
      </c>
      <c r="C2" t="str">
        <f>HEX2HSL(B2)</f>
        <v>(212.0, 88.2%, 26.7%)</v>
      </c>
      <c r="D2" t="str">
        <f t="shared" ref="D2" ca="1" si="0">_xlfn.FORMULATEXT(C2)</f>
        <v>=HEX2HSL(B2)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7F73E-AD9F-411D-93B1-AABC6C6363CD}">
  <sheetPr codeName="Sheet19"/>
  <dimension ref="A1:D8"/>
  <sheetViews>
    <sheetView workbookViewId="0"/>
  </sheetViews>
  <sheetFormatPr defaultRowHeight="14.5" x14ac:dyDescent="0.35"/>
  <cols>
    <col min="3" max="3" width="9.9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9</v>
      </c>
      <c r="B2">
        <v>212</v>
      </c>
      <c r="C2" t="str">
        <f>HSL2RGB(B2,B3,B4)</f>
        <v>(8, 64, 128)</v>
      </c>
      <c r="D2" t="str">
        <f t="shared" ref="D2:D8" ca="1" si="0">_xlfn.FORMULATEXT(C2)</f>
        <v>=HSL2RGB(B2,B3,B4)</v>
      </c>
    </row>
    <row r="3" spans="1:4" x14ac:dyDescent="0.35">
      <c r="B3">
        <v>0.88200000000000001</v>
      </c>
      <c r="C3">
        <f>HSL2RGB(B2,B3,B4,0)</f>
        <v>8</v>
      </c>
      <c r="D3" t="str">
        <f t="shared" ca="1" si="0"/>
        <v>=HSL2RGB(B2,B3,B4,0)</v>
      </c>
    </row>
    <row r="4" spans="1:4" x14ac:dyDescent="0.35">
      <c r="B4">
        <v>0.26700000000000002</v>
      </c>
      <c r="C4">
        <f>HSL2RGB(B2,B3,B4,1)</f>
        <v>64</v>
      </c>
      <c r="D4" t="str">
        <f t="shared" ca="1" si="0"/>
        <v>=HSL2RGB(B2,B3,B4,1)</v>
      </c>
    </row>
    <row r="5" spans="1:4" x14ac:dyDescent="0.35">
      <c r="C5">
        <f>HSL2RGB(B2,B3,B4,2)</f>
        <v>128</v>
      </c>
      <c r="D5" t="str">
        <f t="shared" ca="1" si="0"/>
        <v>=HSL2RGB(B2,B3,B4,2)</v>
      </c>
    </row>
    <row r="6" spans="1:4" x14ac:dyDescent="0.35">
      <c r="C6">
        <f>HSL2RGB(B2,B3,B4,"Red")</f>
        <v>8</v>
      </c>
      <c r="D6" t="str">
        <f t="shared" ca="1" si="0"/>
        <v>=HSL2RGB(B2,B3,B4,"Red")</v>
      </c>
    </row>
    <row r="7" spans="1:4" x14ac:dyDescent="0.35">
      <c r="C7">
        <f>HSL2RGB(B2,B3,B4,"Green")</f>
        <v>64</v>
      </c>
      <c r="D7" t="str">
        <f t="shared" ca="1" si="0"/>
        <v>=HSL2RGB(B2,B3,B4,"Green")</v>
      </c>
    </row>
    <row r="8" spans="1:4" x14ac:dyDescent="0.35">
      <c r="C8">
        <f>HSL2RGB(B2,B3,B4,"Blue")</f>
        <v>128</v>
      </c>
      <c r="D8" t="str">
        <f t="shared" ca="1" si="0"/>
        <v>=HSL2RGB(B2,B3,B4,"Blue")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24FE4-2FA9-49DA-8D28-9D6A3F7C01DD}">
  <sheetPr codeName="Sheet20"/>
  <dimension ref="A1:D4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10</v>
      </c>
      <c r="B2">
        <v>212</v>
      </c>
      <c r="C2" t="str">
        <f>HSL2HEX(B2,B3,B4)</f>
        <v>084080</v>
      </c>
      <c r="D2" t="str">
        <f t="shared" ref="D2" ca="1" si="0">_xlfn.FORMULATEXT(C2)</f>
        <v>=HSL2HEX(B2,B3,B4)</v>
      </c>
    </row>
    <row r="3" spans="1:4" x14ac:dyDescent="0.35">
      <c r="B3">
        <v>0.88200000000000001</v>
      </c>
    </row>
    <row r="4" spans="1:4" x14ac:dyDescent="0.35">
      <c r="B4">
        <v>0.26700000000000002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103F0-ADFE-4525-8B14-06206CA798C3}">
  <sheetPr codeName="Sheet21"/>
  <dimension ref="A1:D8"/>
  <sheetViews>
    <sheetView workbookViewId="0"/>
  </sheetViews>
  <sheetFormatPr defaultRowHeight="14.5" x14ac:dyDescent="0.35"/>
  <cols>
    <col min="3" max="3" width="18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11</v>
      </c>
      <c r="B2">
        <v>8</v>
      </c>
      <c r="C2" t="str">
        <f>RGB2HSV(B2,B3,B4)</f>
        <v>(212.0, 93.8%, 50.2%)</v>
      </c>
      <c r="D2" t="str">
        <f t="shared" ref="D2:D8" ca="1" si="0">_xlfn.FORMULATEXT(C2)</f>
        <v>=RGB2HSV(B2,B3,B4)</v>
      </c>
    </row>
    <row r="3" spans="1:4" x14ac:dyDescent="0.35">
      <c r="B3">
        <v>64</v>
      </c>
      <c r="C3">
        <f>RGB2HSV(B2,B3,B4,0)</f>
        <v>212</v>
      </c>
      <c r="D3" t="str">
        <f t="shared" ca="1" si="0"/>
        <v>=RGB2HSV(B2,B3,B4,0)</v>
      </c>
    </row>
    <row r="4" spans="1:4" x14ac:dyDescent="0.35">
      <c r="B4">
        <v>128</v>
      </c>
      <c r="C4">
        <f>RGB2HSV(B2,B3,B4,1)</f>
        <v>0.9375</v>
      </c>
      <c r="D4" t="str">
        <f t="shared" ca="1" si="0"/>
        <v>=RGB2HSV(B2,B3,B4,1)</v>
      </c>
    </row>
    <row r="5" spans="1:4" x14ac:dyDescent="0.35">
      <c r="C5">
        <f>RGB2HSV(B2,B3,B4,2)</f>
        <v>0.50196078431372548</v>
      </c>
      <c r="D5" t="str">
        <f t="shared" ca="1" si="0"/>
        <v>=RGB2HSV(B2,B3,B4,2)</v>
      </c>
    </row>
    <row r="6" spans="1:4" x14ac:dyDescent="0.35">
      <c r="C6">
        <f>RGB2HSV(B2,B3,B4,"Hue")</f>
        <v>212</v>
      </c>
      <c r="D6" t="str">
        <f t="shared" ca="1" si="0"/>
        <v>=RGB2HSV(B2,B3,B4,"Hue")</v>
      </c>
    </row>
    <row r="7" spans="1:4" x14ac:dyDescent="0.35">
      <c r="C7">
        <f>RGB2HSV(B2,B3,B4,"Saturation")</f>
        <v>0.9375</v>
      </c>
      <c r="D7" t="str">
        <f t="shared" ca="1" si="0"/>
        <v>=RGB2HSV(B2,B3,B4,"Saturation")</v>
      </c>
    </row>
    <row r="8" spans="1:4" x14ac:dyDescent="0.35">
      <c r="C8">
        <f>RGB2HSV(B2,B3,B4,"Value")</f>
        <v>0.50196078431372548</v>
      </c>
      <c r="D8" t="str">
        <f t="shared" ca="1" si="0"/>
        <v>=RGB2HSV(B2,B3,B4,"Value")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Color</vt:lpstr>
      <vt:lpstr>RGB2HEX</vt:lpstr>
      <vt:lpstr>HEX2RGB</vt:lpstr>
      <vt:lpstr>RGB2HSL</vt:lpstr>
      <vt:lpstr>HEX2HSL</vt:lpstr>
      <vt:lpstr>HSL2RGB</vt:lpstr>
      <vt:lpstr>HSL2HEX</vt:lpstr>
      <vt:lpstr>RGB2HSV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2020-01-15T00:04:03Z</dcterms:created>
  <dcterms:modified xsi:type="dcterms:W3CDTF">2020-01-18T23:00:54Z</dcterms:modified>
</cp:coreProperties>
</file>